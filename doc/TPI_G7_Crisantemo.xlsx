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es de decisión" sheetId="1" r:id="rId5"/>
    <sheet state="visible" name="Critic" sheetId="2" r:id="rId6"/>
  </sheets>
  <definedNames/>
  <calcPr/>
</workbook>
</file>

<file path=xl/sharedStrings.xml><?xml version="1.0" encoding="utf-8"?>
<sst xmlns="http://schemas.openxmlformats.org/spreadsheetml/2006/main" count="403" uniqueCount="79">
  <si>
    <t>Dificultad de Elaboración</t>
  </si>
  <si>
    <t>Clasificación</t>
  </si>
  <si>
    <t>Muy Simple</t>
  </si>
  <si>
    <t>Simple</t>
  </si>
  <si>
    <t>Moderado</t>
  </si>
  <si>
    <t>Díficil</t>
  </si>
  <si>
    <t>Muy Díficil</t>
  </si>
  <si>
    <t>Escala</t>
  </si>
  <si>
    <t>Contribución a la vitrina</t>
  </si>
  <si>
    <t>Muy Poco</t>
  </si>
  <si>
    <t>Poco</t>
  </si>
  <si>
    <t>Normal</t>
  </si>
  <si>
    <t>Alto</t>
  </si>
  <si>
    <t>Muy Alto</t>
  </si>
  <si>
    <r>
      <rPr>
        <rFont val="Arial"/>
        <b/>
        <color theme="1"/>
      </rPr>
      <t xml:space="preserve">Matriz de Decisión </t>
    </r>
    <r>
      <rPr>
        <rFont val="Arial"/>
        <color theme="1"/>
      </rPr>
      <t xml:space="preserve">
(Productos Habituales)</t>
    </r>
  </si>
  <si>
    <t>Max</t>
  </si>
  <si>
    <t>Min</t>
  </si>
  <si>
    <r>
      <rPr>
        <rFont val="Arial"/>
        <b/>
        <color theme="1"/>
      </rPr>
      <t xml:space="preserve">Matriz de Decisión </t>
    </r>
    <r>
      <rPr>
        <rFont val="Arial"/>
        <color theme="1"/>
      </rPr>
      <t xml:space="preserve">
(Productos Habituales)</t>
    </r>
  </si>
  <si>
    <t>Demanda Esperada</t>
  </si>
  <si>
    <t>Rentabilidad (Pesos Uruguayos)</t>
  </si>
  <si>
    <t>Tiempo de Elaboración (Por Lote) en Minutos</t>
  </si>
  <si>
    <t>Dificultad de elaboración</t>
  </si>
  <si>
    <t>Vida útil</t>
  </si>
  <si>
    <t>Desperdicio Esperado</t>
  </si>
  <si>
    <t>Contribución de variedad a la vitrina</t>
  </si>
  <si>
    <t>A1</t>
  </si>
  <si>
    <t>1°</t>
  </si>
  <si>
    <t>Scones</t>
  </si>
  <si>
    <t>2°</t>
  </si>
  <si>
    <t>A2</t>
  </si>
  <si>
    <t>Chipá</t>
  </si>
  <si>
    <t>A3</t>
  </si>
  <si>
    <t>Roll de Canela</t>
  </si>
  <si>
    <t>A4</t>
  </si>
  <si>
    <t>Porción de Tarta de coco</t>
  </si>
  <si>
    <t>Tabla AHP</t>
  </si>
  <si>
    <t>A5</t>
  </si>
  <si>
    <t>Alfajor de Dulce de Leche</t>
  </si>
  <si>
    <t>A6</t>
  </si>
  <si>
    <t>Alfajor de Frutos Rojos</t>
  </si>
  <si>
    <t>Promedio (W)</t>
  </si>
  <si>
    <t>A7</t>
  </si>
  <si>
    <t>Cookies</t>
  </si>
  <si>
    <t>N
(Alternativas)</t>
  </si>
  <si>
    <t>AW</t>
  </si>
  <si>
    <t>AW/Wi</t>
  </si>
  <si>
    <t>A8</t>
  </si>
  <si>
    <t>Porción de Brownie</t>
  </si>
  <si>
    <t>A9</t>
  </si>
  <si>
    <t>Porción de Tarta de Ricota</t>
  </si>
  <si>
    <r>
      <rPr>
        <rFont val="Arial"/>
        <b/>
        <color theme="1"/>
      </rPr>
      <t xml:space="preserve">Matriz de Decisión </t>
    </r>
    <r>
      <rPr>
        <rFont val="Arial"/>
        <color theme="1"/>
      </rPr>
      <t xml:space="preserve">
(Productos Habituales)</t>
    </r>
  </si>
  <si>
    <r>
      <rPr>
        <rFont val="Arial"/>
        <b/>
        <color theme="1"/>
      </rPr>
      <t xml:space="preserve">Matriz de Decisión </t>
    </r>
    <r>
      <rPr>
        <rFont val="Arial"/>
        <color theme="1"/>
      </rPr>
      <t xml:space="preserve">
(Productos Habituales)</t>
    </r>
  </si>
  <si>
    <t>C1</t>
  </si>
  <si>
    <t>C2</t>
  </si>
  <si>
    <t>C3</t>
  </si>
  <si>
    <t>C4</t>
  </si>
  <si>
    <t>C5</t>
  </si>
  <si>
    <t>C6</t>
  </si>
  <si>
    <t>C7</t>
  </si>
  <si>
    <t>SUMA</t>
  </si>
  <si>
    <t>1-CJK</t>
  </si>
  <si>
    <t>MAX</t>
  </si>
  <si>
    <t>DESV EST</t>
  </si>
  <si>
    <t>λ</t>
  </si>
  <si>
    <t>MIN</t>
  </si>
  <si>
    <t>IC = (λ - n) / (n-1)</t>
  </si>
  <si>
    <t>AMPLITUD</t>
  </si>
  <si>
    <t xml:space="preserve">IA </t>
  </si>
  <si>
    <t>RC = IC / IA</t>
  </si>
  <si>
    <r>
      <rPr>
        <rFont val="Arial"/>
        <b/>
        <color theme="1"/>
      </rPr>
      <t xml:space="preserve">Matriz de Decisión 
</t>
    </r>
    <r>
      <rPr>
        <rFont val="Arial"/>
        <color theme="1"/>
      </rPr>
      <t>(Productos Habituales + Especial)</t>
    </r>
  </si>
  <si>
    <t>RC &gt; 0.10 = El decisor debería revisar sus juicios de comparación</t>
  </si>
  <si>
    <t>Vida útil (días)</t>
  </si>
  <si>
    <t xml:space="preserve"> </t>
  </si>
  <si>
    <t>A10</t>
  </si>
  <si>
    <t>DJ</t>
  </si>
  <si>
    <t>Shio Pan</t>
  </si>
  <si>
    <r>
      <rPr>
        <rFont val="Arial"/>
        <b/>
        <color theme="1"/>
      </rPr>
      <t xml:space="preserve">Matriz de Decisión </t>
    </r>
    <r>
      <rPr>
        <rFont val="Arial"/>
        <color theme="1"/>
      </rPr>
      <t xml:space="preserve">
(Productos Habituales + Nuevo PMroducto Habitual)</t>
    </r>
  </si>
  <si>
    <t>WJ</t>
  </si>
  <si>
    <t>Alfajor de Maní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</si>
</sst>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"/>
    <numFmt numFmtId="165" formatCode="0.000000"/>
    <numFmt numFmtId="166" formatCode="0.000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3" fontId="2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2" fillId="0" fontId="2" numFmtId="0" xfId="0" applyAlignment="1" applyBorder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readingOrder="0"/>
    </xf>
    <xf borderId="2" fillId="4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2" fillId="0" fontId="2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2" fillId="5" fontId="2" numFmtId="0" xfId="0" applyAlignment="1" applyBorder="1" applyFill="1" applyFont="1">
      <alignment horizontal="center" readingOrder="0" shrinkToFit="0" vertical="center" wrapText="1"/>
    </xf>
    <xf borderId="2" fillId="0" fontId="2" numFmtId="1" xfId="0" applyAlignment="1" applyBorder="1" applyFont="1" applyNumberFormat="1">
      <alignment horizontal="center" readingOrder="0" vertical="center"/>
    </xf>
    <xf borderId="2" fillId="0" fontId="2" numFmtId="2" xfId="0" applyAlignment="1" applyBorder="1" applyFont="1" applyNumberFormat="1">
      <alignment horizontal="center" readingOrder="0" vertical="center"/>
    </xf>
    <xf borderId="2" fillId="0" fontId="2" numFmtId="0" xfId="0" applyBorder="1" applyFont="1"/>
    <xf borderId="2" fillId="5" fontId="2" numFmtId="0" xfId="0" applyAlignment="1" applyBorder="1" applyFill="1" applyFont="1">
      <alignment readingOrder="0"/>
    </xf>
    <xf borderId="0" fillId="0" fontId="2" numFmtId="0" xfId="0" applyAlignment="1" applyFont="1">
      <alignment readingOrder="0"/>
    </xf>
    <xf borderId="2" fillId="0" fontId="2" numFmtId="164" xfId="0" applyAlignment="1" applyBorder="1" applyFont="1" applyNumberFormat="1">
      <alignment horizontal="center" readingOrder="0" vertical="center"/>
    </xf>
    <xf borderId="8" fillId="0" fontId="2" numFmtId="0" xfId="0" applyAlignment="1" applyBorder="1" applyFont="1">
      <alignment horizontal="center" readingOrder="0"/>
    </xf>
    <xf borderId="2" fillId="0" fontId="2" numFmtId="164" xfId="0" applyAlignment="1" applyBorder="1" applyFont="1" applyNumberFormat="1">
      <alignment horizontal="center" readingOrder="0"/>
    </xf>
    <xf borderId="2" fillId="0" fontId="2" numFmtId="165" xfId="0" applyBorder="1" applyFont="1" applyNumberFormat="1"/>
    <xf borderId="2" fillId="0" fontId="2" numFmtId="1" xfId="0" applyAlignment="1" applyBorder="1" applyFont="1" applyNumberFormat="1">
      <alignment horizontal="center" readingOrder="0"/>
    </xf>
    <xf borderId="2" fillId="0" fontId="2" numFmtId="2" xfId="0" applyAlignment="1" applyBorder="1" applyFont="1" applyNumberFormat="1">
      <alignment horizontal="center" readingOrder="0"/>
    </xf>
    <xf borderId="2" fillId="4" fontId="2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/>
    </xf>
    <xf borderId="2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/>
    </xf>
    <xf borderId="9" fillId="0" fontId="2" numFmtId="0" xfId="0" applyBorder="1" applyFont="1"/>
    <xf borderId="2" fillId="5" fontId="1" numFmtId="0" xfId="0" applyAlignment="1" applyBorder="1" applyFill="1" applyFont="1">
      <alignment horizontal="center" readingOrder="0"/>
    </xf>
    <xf borderId="2" fillId="0" fontId="2" numFmtId="166" xfId="0" applyBorder="1" applyFont="1" applyNumberFormat="1"/>
    <xf borderId="2" fillId="0" fontId="2" numFmtId="166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outlinePr summaryBelow="0" summaryRight="0"/>
  </sheetPr>
  <sheetViews>
    <sheetView workbookViewId="0"/>
  </sheetViews>
  <sheetFormatPr customHeight="1" defaultColWidth="12.63" defaultRowHeight="15.75"/>
  <cols>
    <col customWidth="1" min="3" max="3" width="16.63"/>
    <col customWidth="1" min="5" max="5" width="19.5"/>
    <col customWidth="1" min="32" max="32" width="13.63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>
      <c r="B3" s="3"/>
      <c r="C3" s="2" t="s">
        <v>7</v>
      </c>
      <c r="D3" s="2">
        <v>1.0</v>
      </c>
      <c r="E3" s="2">
        <v>2.0</v>
      </c>
      <c r="F3" s="2">
        <v>3.0</v>
      </c>
      <c r="G3" s="2">
        <v>4.0</v>
      </c>
      <c r="H3" s="2">
        <v>5.0</v>
      </c>
    </row>
    <row r="5">
      <c r="B5" s="1" t="s">
        <v>8</v>
      </c>
      <c r="C5" s="2" t="s">
        <v>1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>
      <c r="B6" s="3"/>
      <c r="C6" s="2" t="s">
        <v>7</v>
      </c>
      <c r="D6" s="2">
        <v>1.0</v>
      </c>
      <c r="E6" s="2">
        <v>2.0</v>
      </c>
      <c r="F6" s="2">
        <v>3.0</v>
      </c>
      <c r="G6" s="2">
        <v>4.0</v>
      </c>
      <c r="H6" s="2">
        <v>5.0</v>
      </c>
    </row>
    <row r="8">
      <c r="B8" s="4" t="s">
        <v>17</v>
      </c>
      <c r="C8" s="5"/>
      <c r="D8" s="6" t="s">
        <v>15</v>
      </c>
      <c r="E8" s="6" t="s">
        <v>15</v>
      </c>
      <c r="F8" s="6" t="s">
        <v>16</v>
      </c>
      <c r="G8" s="6" t="s">
        <v>16</v>
      </c>
      <c r="H8" s="6" t="s">
        <v>15</v>
      </c>
      <c r="I8" s="6" t="s">
        <v>16</v>
      </c>
      <c r="J8" s="6" t="s">
        <v>15</v>
      </c>
      <c r="L8" s="11" t="s">
        <v>26</v>
      </c>
      <c r="M8" s="6" t="s">
        <v>15</v>
      </c>
      <c r="N8" s="6" t="s">
        <v>15</v>
      </c>
      <c r="O8" s="6" t="s">
        <v>16</v>
      </c>
      <c r="P8" s="6" t="s">
        <v>16</v>
      </c>
      <c r="Q8" s="6" t="s">
        <v>15</v>
      </c>
      <c r="R8" s="6" t="s">
        <v>16</v>
      </c>
      <c r="S8" s="6" t="s">
        <v>15</v>
      </c>
      <c r="T8" s="12"/>
      <c r="U8" s="11" t="s">
        <v>28</v>
      </c>
      <c r="V8" s="6" t="s">
        <v>15</v>
      </c>
      <c r="W8" s="6" t="s">
        <v>15</v>
      </c>
      <c r="X8" s="6" t="s">
        <v>16</v>
      </c>
      <c r="Y8" s="6" t="s">
        <v>16</v>
      </c>
      <c r="Z8" s="6" t="s">
        <v>15</v>
      </c>
      <c r="AA8" s="6" t="s">
        <v>16</v>
      </c>
      <c r="AB8" s="6" t="s">
        <v>15</v>
      </c>
      <c r="AC8" s="12"/>
      <c r="AD8" s="12"/>
      <c r="AE8" s="12"/>
      <c r="AF8" s="12"/>
      <c r="AG8" s="12"/>
      <c r="AH8" s="12"/>
      <c r="AI8" s="12"/>
    </row>
    <row r="9">
      <c r="B9" s="7"/>
      <c r="C9" s="8"/>
      <c r="D9" s="9" t="s">
        <v>18</v>
      </c>
      <c r="E9" s="9" t="s">
        <v>19</v>
      </c>
      <c r="F9" s="9" t="s">
        <v>20</v>
      </c>
      <c r="G9" s="9" t="s">
        <v>21</v>
      </c>
      <c r="H9" s="9" t="s">
        <v>22</v>
      </c>
      <c r="I9" s="9" t="s">
        <v>23</v>
      </c>
      <c r="J9" s="9" t="s">
        <v>24</v>
      </c>
      <c r="L9" s="14" t="s">
        <v>35</v>
      </c>
      <c r="M9" s="9" t="s">
        <v>18</v>
      </c>
      <c r="N9" s="9" t="s">
        <v>19</v>
      </c>
      <c r="O9" s="9" t="s">
        <v>20</v>
      </c>
      <c r="P9" s="9" t="s">
        <v>21</v>
      </c>
      <c r="Q9" s="9" t="s">
        <v>22</v>
      </c>
      <c r="R9" s="9" t="s">
        <v>23</v>
      </c>
      <c r="S9" s="9" t="s">
        <v>24</v>
      </c>
      <c r="T9" s="15"/>
      <c r="U9" s="14" t="s">
        <v>35</v>
      </c>
      <c r="V9" s="9" t="s">
        <v>18</v>
      </c>
      <c r="W9" s="9" t="s">
        <v>19</v>
      </c>
      <c r="X9" s="9" t="s">
        <v>20</v>
      </c>
      <c r="Y9" s="9" t="s">
        <v>21</v>
      </c>
      <c r="Z9" s="9" t="s">
        <v>22</v>
      </c>
      <c r="AA9" s="9" t="s">
        <v>23</v>
      </c>
      <c r="AB9" s="9" t="s">
        <v>24</v>
      </c>
      <c r="AC9" s="16" t="s">
        <v>40</v>
      </c>
      <c r="AD9" s="15"/>
      <c r="AE9" s="16" t="s">
        <v>43</v>
      </c>
      <c r="AF9" s="16" t="s">
        <v>44</v>
      </c>
      <c r="AG9" s="16" t="s">
        <v>45</v>
      </c>
      <c r="AH9" s="15"/>
      <c r="AI9" s="15"/>
    </row>
    <row r="10">
      <c r="B10" s="10" t="s">
        <v>25</v>
      </c>
      <c r="C10" s="9" t="s">
        <v>27</v>
      </c>
      <c r="D10" s="6">
        <v>18.0</v>
      </c>
      <c r="E10" s="13">
        <f>75-17</f>
        <v>58</v>
      </c>
      <c r="F10" s="6">
        <v>30.0</v>
      </c>
      <c r="G10" s="6" t="s">
        <v>2</v>
      </c>
      <c r="H10" s="6">
        <v>2.0</v>
      </c>
      <c r="I10" s="6">
        <v>7.0</v>
      </c>
      <c r="J10" s="6" t="s">
        <v>13</v>
      </c>
      <c r="L10" s="9" t="s">
        <v>18</v>
      </c>
      <c r="M10" s="17">
        <v>1.0</v>
      </c>
      <c r="N10" s="18">
        <f>1/7</f>
        <v>0.1428571429</v>
      </c>
      <c r="O10" s="17">
        <v>1.0</v>
      </c>
      <c r="P10" s="18">
        <f>1/5</f>
        <v>0.2</v>
      </c>
      <c r="Q10" s="17">
        <v>1.0</v>
      </c>
      <c r="R10" s="18">
        <f>1/7</f>
        <v>0.1428571429</v>
      </c>
      <c r="S10" s="17">
        <v>1.0</v>
      </c>
      <c r="T10" s="12"/>
      <c r="U10" s="9" t="s">
        <v>18</v>
      </c>
      <c r="V10" s="22">
        <f t="shared" ref="V10:V16" si="2">M10/$M$17</f>
        <v>0.04347826087</v>
      </c>
      <c r="W10" s="22">
        <f t="shared" ref="W10:W16" si="3">N10/$N$17</f>
        <v>0.04</v>
      </c>
      <c r="X10" s="22">
        <f t="shared" ref="X10:X16" si="4">O10/$O$17</f>
        <v>0.1042011247</v>
      </c>
      <c r="Y10" s="22">
        <f t="shared" ref="Y10:AB10" si="1">P10/P$17</f>
        <v>0.0093708166</v>
      </c>
      <c r="Z10" s="22">
        <f t="shared" si="1"/>
        <v>0.05785123967</v>
      </c>
      <c r="AA10" s="22">
        <f t="shared" si="1"/>
        <v>0.008695652174</v>
      </c>
      <c r="AB10" s="22">
        <f t="shared" si="1"/>
        <v>0.0303030303</v>
      </c>
      <c r="AC10" s="24">
        <f t="shared" ref="AC10:AC16" si="6">AVERAGE(V10:AB10)</f>
        <v>0.04198573205</v>
      </c>
      <c r="AD10" s="12"/>
      <c r="AE10" s="6">
        <v>7.0</v>
      </c>
      <c r="AF10" s="6">
        <f t="array" ref="AF10:AF16">MMULT(M10:S16,AC10:AC16)</f>
        <v>0.5225938049</v>
      </c>
      <c r="AG10" s="6">
        <f t="shared" ref="AG10:AG16" si="7">AF10/AC10</f>
        <v>12.44693803</v>
      </c>
      <c r="AH10" s="12"/>
      <c r="AI10" s="12"/>
    </row>
    <row r="11">
      <c r="B11" s="10" t="s">
        <v>29</v>
      </c>
      <c r="C11" s="9" t="s">
        <v>30</v>
      </c>
      <c r="D11" s="6">
        <v>9.0</v>
      </c>
      <c r="E11" s="13">
        <f>100-25</f>
        <v>75</v>
      </c>
      <c r="F11" s="6">
        <v>35.0</v>
      </c>
      <c r="G11" s="6" t="s">
        <v>4</v>
      </c>
      <c r="H11" s="6">
        <v>2.0</v>
      </c>
      <c r="I11" s="6">
        <v>0.0</v>
      </c>
      <c r="J11" s="6" t="s">
        <v>13</v>
      </c>
      <c r="L11" s="9" t="s">
        <v>19</v>
      </c>
      <c r="M11" s="17">
        <v>7.0</v>
      </c>
      <c r="N11" s="17">
        <v>1.0</v>
      </c>
      <c r="O11" s="17">
        <v>7.0</v>
      </c>
      <c r="P11" s="17">
        <v>7.0</v>
      </c>
      <c r="Q11" s="17">
        <v>1.0</v>
      </c>
      <c r="R11" s="17">
        <v>1.0</v>
      </c>
      <c r="S11" s="17">
        <v>7.0</v>
      </c>
      <c r="T11" s="12"/>
      <c r="U11" s="9" t="s">
        <v>19</v>
      </c>
      <c r="V11" s="22">
        <f t="shared" si="2"/>
        <v>0.3043478261</v>
      </c>
      <c r="W11" s="22">
        <f t="shared" si="3"/>
        <v>0.28</v>
      </c>
      <c r="X11" s="22">
        <f t="shared" si="4"/>
        <v>0.729407873</v>
      </c>
      <c r="Y11" s="22">
        <f t="shared" ref="Y11:AB11" si="5">P11/P$17</f>
        <v>0.327978581</v>
      </c>
      <c r="Z11" s="22">
        <f t="shared" si="5"/>
        <v>0.05785123967</v>
      </c>
      <c r="AA11" s="22">
        <f t="shared" si="5"/>
        <v>0.06086956522</v>
      </c>
      <c r="AB11" s="22">
        <f t="shared" si="5"/>
        <v>0.2121212121</v>
      </c>
      <c r="AC11" s="24">
        <f t="shared" si="6"/>
        <v>0.2817966139</v>
      </c>
      <c r="AD11" s="12"/>
      <c r="AE11" s="12"/>
      <c r="AF11" s="6">
        <v>3.381005025302969</v>
      </c>
      <c r="AG11" s="6">
        <f t="shared" si="7"/>
        <v>11.99803283</v>
      </c>
      <c r="AH11" s="12"/>
      <c r="AI11" s="12"/>
    </row>
    <row r="12">
      <c r="B12" s="10" t="s">
        <v>31</v>
      </c>
      <c r="C12" s="9" t="s">
        <v>32</v>
      </c>
      <c r="D12" s="6">
        <v>6.0</v>
      </c>
      <c r="E12" s="13">
        <f>180-30</f>
        <v>150</v>
      </c>
      <c r="F12" s="6">
        <v>60.0</v>
      </c>
      <c r="G12" s="6" t="s">
        <v>3</v>
      </c>
      <c r="H12" s="6">
        <v>2.0</v>
      </c>
      <c r="I12" s="6">
        <v>2.0</v>
      </c>
      <c r="J12" s="6" t="s">
        <v>11</v>
      </c>
      <c r="L12" s="9" t="s">
        <v>20</v>
      </c>
      <c r="M12" s="17">
        <v>1.0</v>
      </c>
      <c r="N12" s="18">
        <f t="shared" ref="N12:N13" si="9">1/7</f>
        <v>0.1428571429</v>
      </c>
      <c r="O12" s="17">
        <v>1.0</v>
      </c>
      <c r="P12" s="17">
        <v>5.0</v>
      </c>
      <c r="Q12" s="17">
        <v>7.0</v>
      </c>
      <c r="R12" s="17">
        <v>7.0</v>
      </c>
      <c r="S12" s="17">
        <v>9.0</v>
      </c>
      <c r="T12" s="12"/>
      <c r="U12" s="9" t="s">
        <v>20</v>
      </c>
      <c r="V12" s="22">
        <f t="shared" si="2"/>
        <v>0.04347826087</v>
      </c>
      <c r="W12" s="22">
        <f t="shared" si="3"/>
        <v>0.04</v>
      </c>
      <c r="X12" s="22">
        <f t="shared" si="4"/>
        <v>0.1042011247</v>
      </c>
      <c r="Y12" s="22">
        <f t="shared" ref="Y12:AB12" si="8">P12/P$17</f>
        <v>0.234270415</v>
      </c>
      <c r="Z12" s="22">
        <f t="shared" si="8"/>
        <v>0.4049586777</v>
      </c>
      <c r="AA12" s="22">
        <f t="shared" si="8"/>
        <v>0.4260869565</v>
      </c>
      <c r="AB12" s="22">
        <f t="shared" si="8"/>
        <v>0.2727272727</v>
      </c>
      <c r="AC12" s="24">
        <f t="shared" si="6"/>
        <v>0.2179603868</v>
      </c>
      <c r="AD12" s="12"/>
      <c r="AE12" s="12"/>
      <c r="AF12" s="6">
        <v>3.3423266260485875</v>
      </c>
      <c r="AG12" s="6">
        <f t="shared" si="7"/>
        <v>15.33455999</v>
      </c>
      <c r="AH12" s="12"/>
      <c r="AI12" s="12"/>
    </row>
    <row r="13">
      <c r="B13" s="10" t="s">
        <v>33</v>
      </c>
      <c r="C13" s="9" t="s">
        <v>34</v>
      </c>
      <c r="D13" s="6">
        <v>4.0</v>
      </c>
      <c r="E13" s="13">
        <f>220-52</f>
        <v>168</v>
      </c>
      <c r="F13" s="6">
        <v>60.0</v>
      </c>
      <c r="G13" s="6" t="s">
        <v>2</v>
      </c>
      <c r="H13" s="6">
        <v>7.0</v>
      </c>
      <c r="I13" s="6">
        <v>0.0</v>
      </c>
      <c r="J13" s="6" t="s">
        <v>12</v>
      </c>
      <c r="L13" s="9" t="s">
        <v>21</v>
      </c>
      <c r="M13" s="17">
        <v>5.0</v>
      </c>
      <c r="N13" s="18">
        <f t="shared" si="9"/>
        <v>0.1428571429</v>
      </c>
      <c r="O13" s="18">
        <f>1/5</f>
        <v>0.2</v>
      </c>
      <c r="P13" s="17">
        <v>1.0</v>
      </c>
      <c r="Q13" s="17">
        <v>7.0</v>
      </c>
      <c r="R13" s="18">
        <f>1/7</f>
        <v>0.1428571429</v>
      </c>
      <c r="S13" s="17">
        <v>1.0</v>
      </c>
      <c r="T13" s="12"/>
      <c r="U13" s="9" t="s">
        <v>21</v>
      </c>
      <c r="V13" s="22">
        <f t="shared" si="2"/>
        <v>0.2173913043</v>
      </c>
      <c r="W13" s="22">
        <f t="shared" si="3"/>
        <v>0.04</v>
      </c>
      <c r="X13" s="22">
        <f t="shared" si="4"/>
        <v>0.02084022494</v>
      </c>
      <c r="Y13" s="22">
        <f t="shared" ref="Y13:AB13" si="10">P13/P$17</f>
        <v>0.046854083</v>
      </c>
      <c r="Z13" s="22">
        <f t="shared" si="10"/>
        <v>0.4049586777</v>
      </c>
      <c r="AA13" s="22">
        <f t="shared" si="10"/>
        <v>0.008695652174</v>
      </c>
      <c r="AB13" s="22">
        <f t="shared" si="10"/>
        <v>0.0303030303</v>
      </c>
      <c r="AC13" s="24">
        <f t="shared" si="6"/>
        <v>0.1098632818</v>
      </c>
      <c r="AD13" s="12"/>
      <c r="AE13" s="12"/>
      <c r="AF13" s="6">
        <v>1.4964450358269046</v>
      </c>
      <c r="AG13" s="6">
        <f t="shared" si="7"/>
        <v>13.62097519</v>
      </c>
      <c r="AH13" s="12"/>
      <c r="AI13" s="12"/>
    </row>
    <row r="14">
      <c r="B14" s="10" t="s">
        <v>36</v>
      </c>
      <c r="C14" s="9" t="s">
        <v>37</v>
      </c>
      <c r="D14" s="6">
        <v>6.0</v>
      </c>
      <c r="E14" s="13">
        <f>140 - 58</f>
        <v>82</v>
      </c>
      <c r="F14" s="6">
        <v>70.0</v>
      </c>
      <c r="G14" s="6" t="s">
        <v>4</v>
      </c>
      <c r="H14" s="6">
        <v>14.0</v>
      </c>
      <c r="I14" s="6">
        <v>0.0</v>
      </c>
      <c r="J14" s="6" t="s">
        <v>12</v>
      </c>
      <c r="L14" s="9" t="s">
        <v>22</v>
      </c>
      <c r="M14" s="17">
        <v>1.0</v>
      </c>
      <c r="N14" s="17">
        <v>1.0</v>
      </c>
      <c r="O14" s="18">
        <f>1/Q12</f>
        <v>0.1428571429</v>
      </c>
      <c r="P14" s="18">
        <f>1/Q13</f>
        <v>0.1428571429</v>
      </c>
      <c r="Q14" s="17">
        <v>1.0</v>
      </c>
      <c r="R14" s="17">
        <v>7.0</v>
      </c>
      <c r="S14" s="17">
        <v>7.0</v>
      </c>
      <c r="T14" s="12"/>
      <c r="U14" s="9" t="s">
        <v>22</v>
      </c>
      <c r="V14" s="22">
        <f t="shared" si="2"/>
        <v>0.04347826087</v>
      </c>
      <c r="W14" s="22">
        <f t="shared" si="3"/>
        <v>0.28</v>
      </c>
      <c r="X14" s="22">
        <f t="shared" si="4"/>
        <v>0.01488587496</v>
      </c>
      <c r="Y14" s="22">
        <f t="shared" ref="Y14:AB14" si="11">P14/P$17</f>
        <v>0.006693440428</v>
      </c>
      <c r="Z14" s="22">
        <f t="shared" si="11"/>
        <v>0.05785123967</v>
      </c>
      <c r="AA14" s="22">
        <f t="shared" si="11"/>
        <v>0.4260869565</v>
      </c>
      <c r="AB14" s="22">
        <f t="shared" si="11"/>
        <v>0.2121212121</v>
      </c>
      <c r="AC14" s="24">
        <f t="shared" si="6"/>
        <v>0.1487309978</v>
      </c>
      <c r="AD14" s="12"/>
      <c r="AE14" s="12"/>
      <c r="AF14" s="6">
        <v>1.916986210445512</v>
      </c>
      <c r="AG14" s="6">
        <f t="shared" si="7"/>
        <v>12.88894877</v>
      </c>
      <c r="AH14" s="12"/>
      <c r="AI14" s="12"/>
    </row>
    <row r="15">
      <c r="B15" s="10" t="s">
        <v>38</v>
      </c>
      <c r="C15" s="9" t="s">
        <v>39</v>
      </c>
      <c r="D15" s="6">
        <v>6.0</v>
      </c>
      <c r="E15" s="13">
        <f>140 - 54</f>
        <v>86</v>
      </c>
      <c r="F15" s="6">
        <v>70.0</v>
      </c>
      <c r="G15" s="6" t="s">
        <v>4</v>
      </c>
      <c r="H15" s="6">
        <v>14.0</v>
      </c>
      <c r="I15" s="6">
        <v>0.0</v>
      </c>
      <c r="J15" s="6" t="s">
        <v>12</v>
      </c>
      <c r="L15" s="9" t="s">
        <v>23</v>
      </c>
      <c r="M15" s="17">
        <v>7.0</v>
      </c>
      <c r="N15" s="17">
        <f>1/R11</f>
        <v>1</v>
      </c>
      <c r="O15" s="18">
        <f>1/R12</f>
        <v>0.1428571429</v>
      </c>
      <c r="P15" s="17">
        <f>1/R13</f>
        <v>7</v>
      </c>
      <c r="Q15" s="18">
        <f t="shared" ref="Q15:Q16" si="13">1/7</f>
        <v>0.1428571429</v>
      </c>
      <c r="R15" s="17">
        <v>1.0</v>
      </c>
      <c r="S15" s="17">
        <v>7.0</v>
      </c>
      <c r="T15" s="12"/>
      <c r="U15" s="9" t="s">
        <v>23</v>
      </c>
      <c r="V15" s="22">
        <f t="shared" si="2"/>
        <v>0.3043478261</v>
      </c>
      <c r="W15" s="22">
        <f t="shared" si="3"/>
        <v>0.28</v>
      </c>
      <c r="X15" s="22">
        <f t="shared" si="4"/>
        <v>0.01488587496</v>
      </c>
      <c r="Y15" s="22">
        <f t="shared" ref="Y15:AB15" si="12">P15/P$17</f>
        <v>0.327978581</v>
      </c>
      <c r="Z15" s="22">
        <f t="shared" si="12"/>
        <v>0.00826446281</v>
      </c>
      <c r="AA15" s="22">
        <f t="shared" si="12"/>
        <v>0.06086956522</v>
      </c>
      <c r="AB15" s="22">
        <f t="shared" si="12"/>
        <v>0.2121212121</v>
      </c>
      <c r="AC15" s="24">
        <f t="shared" si="6"/>
        <v>0.1726382175</v>
      </c>
      <c r="AD15" s="12"/>
      <c r="AE15" s="12"/>
      <c r="AF15" s="6">
        <v>1.758935803510798</v>
      </c>
      <c r="AG15" s="6">
        <f t="shared" si="7"/>
        <v>10.1885656</v>
      </c>
      <c r="AH15" s="12"/>
      <c r="AI15" s="12"/>
    </row>
    <row r="16">
      <c r="B16" s="10" t="s">
        <v>41</v>
      </c>
      <c r="C16" s="9" t="s">
        <v>42</v>
      </c>
      <c r="D16" s="6">
        <v>6.0</v>
      </c>
      <c r="E16" s="13">
        <f>155-31</f>
        <v>124</v>
      </c>
      <c r="F16" s="6">
        <v>30.0</v>
      </c>
      <c r="G16" s="6" t="s">
        <v>2</v>
      </c>
      <c r="H16" s="6">
        <v>7.0</v>
      </c>
      <c r="I16" s="6">
        <v>1.0</v>
      </c>
      <c r="J16" s="6" t="s">
        <v>13</v>
      </c>
      <c r="L16" s="9" t="s">
        <v>24</v>
      </c>
      <c r="M16" s="17">
        <v>1.0</v>
      </c>
      <c r="N16" s="18">
        <f>1/S11</f>
        <v>0.1428571429</v>
      </c>
      <c r="O16" s="18">
        <f>1/S12</f>
        <v>0.1111111111</v>
      </c>
      <c r="P16" s="17">
        <f>1/S13</f>
        <v>1</v>
      </c>
      <c r="Q16" s="18">
        <f t="shared" si="13"/>
        <v>0.1428571429</v>
      </c>
      <c r="R16" s="18">
        <f>1/7</f>
        <v>0.1428571429</v>
      </c>
      <c r="S16" s="17">
        <v>1.0</v>
      </c>
      <c r="T16" s="12"/>
      <c r="U16" s="9" t="s">
        <v>24</v>
      </c>
      <c r="V16" s="22">
        <f t="shared" si="2"/>
        <v>0.04347826087</v>
      </c>
      <c r="W16" s="22">
        <f t="shared" si="3"/>
        <v>0.04</v>
      </c>
      <c r="X16" s="22">
        <f t="shared" si="4"/>
        <v>0.01157790275</v>
      </c>
      <c r="Y16" s="22">
        <f t="shared" ref="Y16:AB16" si="14">P16/P$17</f>
        <v>0.046854083</v>
      </c>
      <c r="Z16" s="22">
        <f t="shared" si="14"/>
        <v>0.00826446281</v>
      </c>
      <c r="AA16" s="22">
        <f t="shared" si="14"/>
        <v>0.008695652174</v>
      </c>
      <c r="AB16" s="22">
        <f t="shared" si="14"/>
        <v>0.0303030303</v>
      </c>
      <c r="AC16" s="24">
        <f t="shared" si="6"/>
        <v>0.02702477027</v>
      </c>
      <c r="AD16" s="12"/>
      <c r="AE16" s="12"/>
      <c r="AF16" s="6">
        <v>0.2892581518676131</v>
      </c>
      <c r="AG16" s="6">
        <f t="shared" si="7"/>
        <v>10.70344536</v>
      </c>
      <c r="AH16" s="12"/>
      <c r="AI16" s="12"/>
    </row>
    <row r="17">
      <c r="B17" s="10" t="s">
        <v>46</v>
      </c>
      <c r="C17" s="9" t="s">
        <v>47</v>
      </c>
      <c r="D17" s="6">
        <v>6.0</v>
      </c>
      <c r="E17" s="13">
        <f>220-67</f>
        <v>153</v>
      </c>
      <c r="F17" s="6">
        <v>37.0</v>
      </c>
      <c r="G17" s="6" t="s">
        <v>3</v>
      </c>
      <c r="H17" s="6">
        <v>4.0</v>
      </c>
      <c r="I17" s="6">
        <v>2.0</v>
      </c>
      <c r="J17" s="6" t="s">
        <v>12</v>
      </c>
      <c r="L17" s="11" t="s">
        <v>59</v>
      </c>
      <c r="M17" s="26">
        <f t="shared" ref="M17:S17" si="15">SUM(M10:M16)</f>
        <v>23</v>
      </c>
      <c r="N17" s="27">
        <f t="shared" si="15"/>
        <v>3.571428571</v>
      </c>
      <c r="O17" s="26">
        <f t="shared" si="15"/>
        <v>9.596825397</v>
      </c>
      <c r="P17" s="27">
        <f t="shared" si="15"/>
        <v>21.34285714</v>
      </c>
      <c r="Q17" s="26">
        <f t="shared" si="15"/>
        <v>17.28571429</v>
      </c>
      <c r="R17" s="27">
        <f t="shared" si="15"/>
        <v>16.42857143</v>
      </c>
      <c r="S17" s="26">
        <f t="shared" si="15"/>
        <v>33</v>
      </c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29" t="s">
        <v>59</v>
      </c>
      <c r="AG17" s="6">
        <f>SUM(AG10:AG16)</f>
        <v>87.18146576</v>
      </c>
      <c r="AH17" s="12"/>
      <c r="AI17" s="12"/>
    </row>
    <row r="18">
      <c r="B18" s="10" t="s">
        <v>48</v>
      </c>
      <c r="C18" s="9" t="s">
        <v>49</v>
      </c>
      <c r="D18" s="6">
        <v>6.0</v>
      </c>
      <c r="E18" s="6">
        <f>220-51</f>
        <v>169</v>
      </c>
      <c r="F18" s="6">
        <v>90.0</v>
      </c>
      <c r="G18" s="6" t="s">
        <v>5</v>
      </c>
      <c r="H18" s="6">
        <v>5.0</v>
      </c>
      <c r="I18" s="6">
        <v>0.0</v>
      </c>
      <c r="J18" s="6" t="s">
        <v>12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29" t="s">
        <v>63</v>
      </c>
      <c r="AG18" s="6">
        <f>AG17/AE10</f>
        <v>12.45449511</v>
      </c>
      <c r="AH18" s="12"/>
      <c r="AI18" s="12"/>
    </row>
    <row r="19"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12"/>
      <c r="AH19" s="31"/>
      <c r="AI19" s="31"/>
    </row>
    <row r="20"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3" t="s">
        <v>65</v>
      </c>
      <c r="AG20" s="13">
        <f>(AG18-AE10)/(AE10-1)</f>
        <v>0.9090825182</v>
      </c>
      <c r="AH20" s="31"/>
      <c r="AI20" s="31"/>
    </row>
    <row r="21"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3" t="s">
        <v>67</v>
      </c>
      <c r="AG21" s="21">
        <v>1.32</v>
      </c>
      <c r="AH21" s="31"/>
      <c r="AI21" s="31"/>
    </row>
    <row r="22">
      <c r="AF22" s="33" t="s">
        <v>68</v>
      </c>
      <c r="AG22" s="19">
        <f>AG20/AG21</f>
        <v>0.6886988774</v>
      </c>
    </row>
    <row r="24">
      <c r="B24" s="4" t="s">
        <v>69</v>
      </c>
      <c r="C24" s="5"/>
      <c r="D24" s="6" t="s">
        <v>15</v>
      </c>
      <c r="E24" s="6" t="s">
        <v>15</v>
      </c>
      <c r="F24" s="6" t="s">
        <v>16</v>
      </c>
      <c r="G24" s="6" t="s">
        <v>16</v>
      </c>
      <c r="H24" s="6" t="s">
        <v>15</v>
      </c>
      <c r="I24" s="6" t="s">
        <v>16</v>
      </c>
      <c r="J24" s="6" t="s">
        <v>15</v>
      </c>
      <c r="AF24" s="21" t="s">
        <v>70</v>
      </c>
    </row>
    <row r="25">
      <c r="B25" s="7"/>
      <c r="C25" s="8"/>
      <c r="D25" s="9" t="s">
        <v>18</v>
      </c>
      <c r="E25" s="9" t="s">
        <v>19</v>
      </c>
      <c r="F25" s="9" t="s">
        <v>20</v>
      </c>
      <c r="G25" s="9" t="s">
        <v>21</v>
      </c>
      <c r="H25" s="9" t="s">
        <v>71</v>
      </c>
      <c r="I25" s="9" t="s">
        <v>23</v>
      </c>
      <c r="J25" s="9" t="s">
        <v>24</v>
      </c>
      <c r="K25" s="21" t="s">
        <v>72</v>
      </c>
    </row>
    <row r="26">
      <c r="B26" s="10" t="s">
        <v>25</v>
      </c>
      <c r="C26" s="9" t="s">
        <v>27</v>
      </c>
      <c r="D26" s="6">
        <v>18.0</v>
      </c>
      <c r="E26" s="13">
        <f>75-17</f>
        <v>58</v>
      </c>
      <c r="F26" s="6">
        <v>30.0</v>
      </c>
      <c r="G26" s="6" t="s">
        <v>2</v>
      </c>
      <c r="H26" s="6">
        <v>2.0</v>
      </c>
      <c r="I26" s="6">
        <v>7.0</v>
      </c>
      <c r="J26" s="6" t="s">
        <v>13</v>
      </c>
    </row>
    <row r="27">
      <c r="B27" s="10" t="s">
        <v>29</v>
      </c>
      <c r="C27" s="9" t="s">
        <v>30</v>
      </c>
      <c r="D27" s="6">
        <v>9.0</v>
      </c>
      <c r="E27" s="13">
        <f>100-25</f>
        <v>75</v>
      </c>
      <c r="F27" s="6">
        <v>35.0</v>
      </c>
      <c r="G27" s="6" t="s">
        <v>4</v>
      </c>
      <c r="H27" s="6">
        <v>2.0</v>
      </c>
      <c r="I27" s="6">
        <v>0.0</v>
      </c>
      <c r="J27" s="6" t="s">
        <v>13</v>
      </c>
    </row>
    <row r="28">
      <c r="B28" s="10" t="s">
        <v>31</v>
      </c>
      <c r="C28" s="9" t="s">
        <v>32</v>
      </c>
      <c r="D28" s="6">
        <v>6.0</v>
      </c>
      <c r="E28" s="13">
        <f>180-30</f>
        <v>150</v>
      </c>
      <c r="F28" s="6">
        <v>60.0</v>
      </c>
      <c r="G28" s="6" t="s">
        <v>3</v>
      </c>
      <c r="H28" s="6">
        <v>2.0</v>
      </c>
      <c r="I28" s="6">
        <v>2.0</v>
      </c>
      <c r="J28" s="6" t="s">
        <v>11</v>
      </c>
    </row>
    <row r="29">
      <c r="B29" s="10" t="s">
        <v>33</v>
      </c>
      <c r="C29" s="9" t="s">
        <v>34</v>
      </c>
      <c r="D29" s="6">
        <v>4.0</v>
      </c>
      <c r="E29" s="13">
        <f>220-52</f>
        <v>168</v>
      </c>
      <c r="F29" s="6">
        <v>60.0</v>
      </c>
      <c r="G29" s="6" t="s">
        <v>2</v>
      </c>
      <c r="H29" s="6">
        <v>7.0</v>
      </c>
      <c r="I29" s="6">
        <v>0.0</v>
      </c>
      <c r="J29" s="6" t="s">
        <v>12</v>
      </c>
    </row>
    <row r="30">
      <c r="B30" s="10" t="s">
        <v>36</v>
      </c>
      <c r="C30" s="9" t="s">
        <v>37</v>
      </c>
      <c r="D30" s="6">
        <v>6.0</v>
      </c>
      <c r="E30" s="13">
        <f>140 - 58</f>
        <v>82</v>
      </c>
      <c r="F30" s="6">
        <v>70.0</v>
      </c>
      <c r="G30" s="6" t="s">
        <v>4</v>
      </c>
      <c r="H30" s="6">
        <v>14.0</v>
      </c>
      <c r="I30" s="6">
        <v>0.0</v>
      </c>
      <c r="J30" s="6" t="s">
        <v>12</v>
      </c>
    </row>
    <row r="31">
      <c r="B31" s="10" t="s">
        <v>38</v>
      </c>
      <c r="C31" s="9" t="s">
        <v>39</v>
      </c>
      <c r="D31" s="6">
        <v>6.0</v>
      </c>
      <c r="E31" s="13">
        <f>140 - 54</f>
        <v>86</v>
      </c>
      <c r="F31" s="6">
        <v>70.0</v>
      </c>
      <c r="G31" s="6" t="s">
        <v>4</v>
      </c>
      <c r="H31" s="6">
        <v>14.0</v>
      </c>
      <c r="I31" s="6">
        <v>0.0</v>
      </c>
      <c r="J31" s="6" t="s">
        <v>12</v>
      </c>
    </row>
    <row r="32">
      <c r="B32" s="10" t="s">
        <v>41</v>
      </c>
      <c r="C32" s="9" t="s">
        <v>42</v>
      </c>
      <c r="D32" s="6">
        <v>6.0</v>
      </c>
      <c r="E32" s="13">
        <f>155-31</f>
        <v>124</v>
      </c>
      <c r="F32" s="6">
        <v>30.0</v>
      </c>
      <c r="G32" s="6" t="s">
        <v>2</v>
      </c>
      <c r="H32" s="6">
        <v>7.0</v>
      </c>
      <c r="I32" s="6">
        <v>1.0</v>
      </c>
      <c r="J32" s="6" t="s">
        <v>13</v>
      </c>
    </row>
    <row r="33">
      <c r="B33" s="10" t="s">
        <v>46</v>
      </c>
      <c r="C33" s="9" t="s">
        <v>47</v>
      </c>
      <c r="D33" s="6">
        <v>6.0</v>
      </c>
      <c r="E33" s="13">
        <f>220-67</f>
        <v>153</v>
      </c>
      <c r="F33" s="6">
        <v>37.0</v>
      </c>
      <c r="G33" s="6" t="s">
        <v>3</v>
      </c>
      <c r="H33" s="6">
        <v>4.0</v>
      </c>
      <c r="I33" s="6">
        <v>2.0</v>
      </c>
      <c r="J33" s="6" t="s">
        <v>12</v>
      </c>
    </row>
    <row r="34">
      <c r="B34" s="10" t="s">
        <v>48</v>
      </c>
      <c r="C34" s="9" t="s">
        <v>49</v>
      </c>
      <c r="D34" s="6">
        <v>6.0</v>
      </c>
      <c r="E34" s="6">
        <v>169.0</v>
      </c>
      <c r="F34" s="6">
        <v>90.0</v>
      </c>
      <c r="G34" s="6" t="s">
        <v>5</v>
      </c>
      <c r="H34" s="6">
        <v>5.0</v>
      </c>
      <c r="I34" s="6">
        <v>0.0</v>
      </c>
      <c r="J34" s="6" t="s">
        <v>12</v>
      </c>
    </row>
    <row r="35">
      <c r="B35" s="10" t="s">
        <v>73</v>
      </c>
      <c r="C35" s="6" t="s">
        <v>75</v>
      </c>
      <c r="D35" s="6">
        <v>16.0</v>
      </c>
      <c r="E35" s="13">
        <f>90-15</f>
        <v>75</v>
      </c>
      <c r="F35" s="6">
        <v>90.0</v>
      </c>
      <c r="G35" s="6" t="s">
        <v>3</v>
      </c>
      <c r="H35" s="6">
        <v>1.0</v>
      </c>
      <c r="I35" s="6">
        <v>3.0</v>
      </c>
      <c r="J35" s="6" t="s">
        <v>13</v>
      </c>
    </row>
    <row r="40">
      <c r="B40" s="4" t="s">
        <v>76</v>
      </c>
      <c r="C40" s="5"/>
      <c r="D40" s="6" t="s">
        <v>15</v>
      </c>
      <c r="E40" s="6" t="s">
        <v>15</v>
      </c>
      <c r="F40" s="6" t="s">
        <v>16</v>
      </c>
      <c r="G40" s="6" t="s">
        <v>16</v>
      </c>
      <c r="H40" s="6" t="s">
        <v>15</v>
      </c>
      <c r="I40" s="6" t="s">
        <v>16</v>
      </c>
      <c r="J40" s="6" t="s">
        <v>15</v>
      </c>
    </row>
    <row r="41">
      <c r="B41" s="7"/>
      <c r="C41" s="8"/>
      <c r="D41" s="9" t="s">
        <v>18</v>
      </c>
      <c r="E41" s="9" t="s">
        <v>19</v>
      </c>
      <c r="F41" s="9" t="s">
        <v>20</v>
      </c>
      <c r="G41" s="9" t="s">
        <v>21</v>
      </c>
      <c r="H41" s="9" t="s">
        <v>71</v>
      </c>
      <c r="I41" s="9" t="s">
        <v>23</v>
      </c>
      <c r="J41" s="9" t="s">
        <v>24</v>
      </c>
    </row>
    <row r="42">
      <c r="B42" s="10" t="s">
        <v>25</v>
      </c>
      <c r="C42" s="9" t="s">
        <v>27</v>
      </c>
      <c r="D42" s="6">
        <v>18.0</v>
      </c>
      <c r="E42" s="13">
        <f>75-17</f>
        <v>58</v>
      </c>
      <c r="F42" s="6">
        <v>30.0</v>
      </c>
      <c r="G42" s="6" t="s">
        <v>2</v>
      </c>
      <c r="H42" s="6">
        <v>2.0</v>
      </c>
      <c r="I42" s="6">
        <v>7.0</v>
      </c>
      <c r="J42" s="6" t="s">
        <v>13</v>
      </c>
    </row>
    <row r="43">
      <c r="B43" s="10" t="s">
        <v>29</v>
      </c>
      <c r="C43" s="9" t="s">
        <v>30</v>
      </c>
      <c r="D43" s="6">
        <v>9.0</v>
      </c>
      <c r="E43" s="13">
        <f>100-25</f>
        <v>75</v>
      </c>
      <c r="F43" s="6">
        <v>35.0</v>
      </c>
      <c r="G43" s="6" t="s">
        <v>4</v>
      </c>
      <c r="H43" s="6">
        <v>2.0</v>
      </c>
      <c r="I43" s="6">
        <v>0.0</v>
      </c>
      <c r="J43" s="6" t="s">
        <v>13</v>
      </c>
    </row>
    <row r="44">
      <c r="B44" s="10" t="s">
        <v>31</v>
      </c>
      <c r="C44" s="9" t="s">
        <v>32</v>
      </c>
      <c r="D44" s="6">
        <v>6.0</v>
      </c>
      <c r="E44" s="13">
        <f>180-30</f>
        <v>150</v>
      </c>
      <c r="F44" s="6">
        <v>60.0</v>
      </c>
      <c r="G44" s="6" t="s">
        <v>3</v>
      </c>
      <c r="H44" s="6">
        <v>2.0</v>
      </c>
      <c r="I44" s="6">
        <v>2.0</v>
      </c>
      <c r="J44" s="6" t="s">
        <v>11</v>
      </c>
    </row>
    <row r="45">
      <c r="B45" s="10" t="s">
        <v>33</v>
      </c>
      <c r="C45" s="9" t="s">
        <v>34</v>
      </c>
      <c r="D45" s="6">
        <v>4.0</v>
      </c>
      <c r="E45" s="13">
        <f>220-52</f>
        <v>168</v>
      </c>
      <c r="F45" s="6">
        <v>60.0</v>
      </c>
      <c r="G45" s="6" t="s">
        <v>2</v>
      </c>
      <c r="H45" s="6">
        <v>7.0</v>
      </c>
      <c r="I45" s="6">
        <v>0.0</v>
      </c>
      <c r="J45" s="6" t="s">
        <v>12</v>
      </c>
    </row>
    <row r="46">
      <c r="B46" s="10" t="s">
        <v>36</v>
      </c>
      <c r="C46" s="9" t="s">
        <v>37</v>
      </c>
      <c r="D46" s="6">
        <v>6.0</v>
      </c>
      <c r="E46" s="13">
        <f>140 - 58</f>
        <v>82</v>
      </c>
      <c r="F46" s="6">
        <v>70.0</v>
      </c>
      <c r="G46" s="6" t="s">
        <v>4</v>
      </c>
      <c r="H46" s="6">
        <v>14.0</v>
      </c>
      <c r="I46" s="6">
        <v>0.0</v>
      </c>
      <c r="J46" s="6" t="s">
        <v>12</v>
      </c>
    </row>
    <row r="47">
      <c r="B47" s="10" t="s">
        <v>38</v>
      </c>
      <c r="C47" s="9" t="s">
        <v>39</v>
      </c>
      <c r="D47" s="6">
        <v>6.0</v>
      </c>
      <c r="E47" s="13">
        <f>140 - 54</f>
        <v>86</v>
      </c>
      <c r="F47" s="6">
        <v>70.0</v>
      </c>
      <c r="G47" s="6" t="s">
        <v>4</v>
      </c>
      <c r="H47" s="6">
        <v>14.0</v>
      </c>
      <c r="I47" s="6">
        <v>0.0</v>
      </c>
      <c r="J47" s="6" t="s">
        <v>12</v>
      </c>
    </row>
    <row r="48">
      <c r="B48" s="10" t="s">
        <v>41</v>
      </c>
      <c r="C48" s="9" t="s">
        <v>42</v>
      </c>
      <c r="D48" s="6">
        <v>6.0</v>
      </c>
      <c r="E48" s="13">
        <f>155-31</f>
        <v>124</v>
      </c>
      <c r="F48" s="6">
        <v>30.0</v>
      </c>
      <c r="G48" s="6" t="s">
        <v>2</v>
      </c>
      <c r="H48" s="6">
        <v>7.0</v>
      </c>
      <c r="I48" s="6">
        <v>1.0</v>
      </c>
      <c r="J48" s="6" t="s">
        <v>13</v>
      </c>
    </row>
    <row r="49">
      <c r="B49" s="10" t="s">
        <v>46</v>
      </c>
      <c r="C49" s="9" t="s">
        <v>47</v>
      </c>
      <c r="D49" s="6">
        <v>6.0</v>
      </c>
      <c r="E49" s="13">
        <f>220-67</f>
        <v>153</v>
      </c>
      <c r="F49" s="6">
        <v>37.0</v>
      </c>
      <c r="G49" s="6" t="s">
        <v>3</v>
      </c>
      <c r="H49" s="6">
        <v>4.0</v>
      </c>
      <c r="I49" s="6">
        <v>2.0</v>
      </c>
      <c r="J49" s="6" t="s">
        <v>12</v>
      </c>
    </row>
    <row r="50">
      <c r="B50" s="10" t="s">
        <v>48</v>
      </c>
      <c r="C50" s="9" t="s">
        <v>49</v>
      </c>
      <c r="D50" s="6">
        <v>6.0</v>
      </c>
      <c r="E50" s="6">
        <v>169.0</v>
      </c>
      <c r="F50" s="6">
        <v>90.0</v>
      </c>
      <c r="G50" s="6" t="s">
        <v>5</v>
      </c>
      <c r="H50" s="6">
        <v>5.0</v>
      </c>
      <c r="I50" s="6">
        <v>0.0</v>
      </c>
      <c r="J50" s="6" t="s">
        <v>12</v>
      </c>
    </row>
    <row r="51">
      <c r="B51" s="10" t="s">
        <v>73</v>
      </c>
      <c r="C51" s="6" t="s">
        <v>78</v>
      </c>
      <c r="D51" s="6">
        <v>20.0</v>
      </c>
      <c r="E51" s="13">
        <f>140 - 55</f>
        <v>85</v>
      </c>
      <c r="F51" s="6">
        <v>75.0</v>
      </c>
      <c r="G51" s="6" t="s">
        <v>4</v>
      </c>
      <c r="H51" s="6">
        <v>14.0</v>
      </c>
      <c r="I51" s="6">
        <v>3.0</v>
      </c>
      <c r="J51" s="6" t="s">
        <v>12</v>
      </c>
    </row>
  </sheetData>
  <mergeCells count="5">
    <mergeCell ref="B2:B3"/>
    <mergeCell ref="B5:B6"/>
    <mergeCell ref="B8:C9"/>
    <mergeCell ref="B24:C25"/>
    <mergeCell ref="B40:C4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4" max="32" width="11.13"/>
  </cols>
  <sheetData>
    <row r="2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>
      <c r="B3" s="3"/>
      <c r="C3" s="2" t="s">
        <v>7</v>
      </c>
      <c r="D3" s="2">
        <v>1.0</v>
      </c>
      <c r="E3" s="2">
        <v>2.0</v>
      </c>
      <c r="F3" s="2">
        <v>3.0</v>
      </c>
      <c r="G3" s="2">
        <v>4.0</v>
      </c>
      <c r="H3" s="2">
        <v>5.0</v>
      </c>
    </row>
    <row r="5">
      <c r="B5" s="1" t="s">
        <v>8</v>
      </c>
      <c r="C5" s="2" t="s">
        <v>1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>
      <c r="B6" s="3"/>
      <c r="C6" s="2" t="s">
        <v>7</v>
      </c>
      <c r="D6" s="2">
        <v>1.0</v>
      </c>
      <c r="E6" s="2">
        <v>2.0</v>
      </c>
      <c r="F6" s="2">
        <v>3.0</v>
      </c>
      <c r="G6" s="2">
        <v>4.0</v>
      </c>
      <c r="H6" s="2">
        <v>5.0</v>
      </c>
    </row>
    <row r="8">
      <c r="B8" s="4" t="s">
        <v>14</v>
      </c>
      <c r="C8" s="5"/>
      <c r="D8" s="6" t="s">
        <v>15</v>
      </c>
      <c r="E8" s="6" t="s">
        <v>15</v>
      </c>
      <c r="F8" s="6" t="s">
        <v>16</v>
      </c>
      <c r="G8" s="6" t="s">
        <v>16</v>
      </c>
      <c r="H8" s="6" t="s">
        <v>15</v>
      </c>
      <c r="I8" s="6" t="s">
        <v>16</v>
      </c>
      <c r="J8" s="6" t="s">
        <v>15</v>
      </c>
    </row>
    <row r="9">
      <c r="B9" s="7"/>
      <c r="C9" s="8"/>
      <c r="D9" s="9" t="s">
        <v>18</v>
      </c>
      <c r="E9" s="9" t="s">
        <v>19</v>
      </c>
      <c r="F9" s="9" t="s">
        <v>20</v>
      </c>
      <c r="G9" s="9" t="s">
        <v>21</v>
      </c>
      <c r="H9" s="9" t="s">
        <v>22</v>
      </c>
      <c r="I9" s="9" t="s">
        <v>23</v>
      </c>
      <c r="J9" s="9" t="s">
        <v>24</v>
      </c>
    </row>
    <row r="10">
      <c r="B10" s="10" t="s">
        <v>25</v>
      </c>
      <c r="C10" s="9" t="s">
        <v>27</v>
      </c>
      <c r="D10" s="6">
        <v>18.0</v>
      </c>
      <c r="E10" s="13">
        <f>75-17</f>
        <v>58</v>
      </c>
      <c r="F10" s="6">
        <v>30.0</v>
      </c>
      <c r="G10" s="6" t="s">
        <v>2</v>
      </c>
      <c r="H10" s="6">
        <v>2.0</v>
      </c>
      <c r="I10" s="6">
        <v>7.0</v>
      </c>
      <c r="J10" s="6" t="s">
        <v>13</v>
      </c>
    </row>
    <row r="11">
      <c r="B11" s="10" t="s">
        <v>29</v>
      </c>
      <c r="C11" s="9" t="s">
        <v>30</v>
      </c>
      <c r="D11" s="6">
        <v>9.0</v>
      </c>
      <c r="E11" s="13">
        <f>100-25</f>
        <v>75</v>
      </c>
      <c r="F11" s="6">
        <v>35.0</v>
      </c>
      <c r="G11" s="6" t="s">
        <v>4</v>
      </c>
      <c r="H11" s="6">
        <v>2.0</v>
      </c>
      <c r="I11" s="6">
        <v>0.0</v>
      </c>
      <c r="J11" s="6" t="s">
        <v>13</v>
      </c>
    </row>
    <row r="12">
      <c r="B12" s="10" t="s">
        <v>31</v>
      </c>
      <c r="C12" s="9" t="s">
        <v>32</v>
      </c>
      <c r="D12" s="6">
        <v>6.0</v>
      </c>
      <c r="E12" s="13">
        <f>180-30</f>
        <v>150</v>
      </c>
      <c r="F12" s="6">
        <v>60.0</v>
      </c>
      <c r="G12" s="6" t="s">
        <v>3</v>
      </c>
      <c r="H12" s="6">
        <v>2.0</v>
      </c>
      <c r="I12" s="6">
        <v>2.0</v>
      </c>
      <c r="J12" s="6" t="s">
        <v>11</v>
      </c>
    </row>
    <row r="13">
      <c r="B13" s="10" t="s">
        <v>33</v>
      </c>
      <c r="C13" s="9" t="s">
        <v>34</v>
      </c>
      <c r="D13" s="6">
        <v>4.0</v>
      </c>
      <c r="E13" s="13">
        <f>220-52</f>
        <v>168</v>
      </c>
      <c r="F13" s="6">
        <v>60.0</v>
      </c>
      <c r="G13" s="6" t="s">
        <v>2</v>
      </c>
      <c r="H13" s="6">
        <v>7.0</v>
      </c>
      <c r="I13" s="6">
        <v>0.0</v>
      </c>
      <c r="J13" s="6" t="s">
        <v>12</v>
      </c>
    </row>
    <row r="14">
      <c r="B14" s="10" t="s">
        <v>36</v>
      </c>
      <c r="C14" s="9" t="s">
        <v>37</v>
      </c>
      <c r="D14" s="6">
        <v>6.0</v>
      </c>
      <c r="E14" s="13">
        <f>140 - 58</f>
        <v>82</v>
      </c>
      <c r="F14" s="6">
        <v>70.0</v>
      </c>
      <c r="G14" s="6" t="s">
        <v>4</v>
      </c>
      <c r="H14" s="6">
        <v>14.0</v>
      </c>
      <c r="I14" s="6">
        <v>0.0</v>
      </c>
      <c r="J14" s="6" t="s">
        <v>12</v>
      </c>
    </row>
    <row r="15">
      <c r="B15" s="10" t="s">
        <v>38</v>
      </c>
      <c r="C15" s="9" t="s">
        <v>39</v>
      </c>
      <c r="D15" s="6">
        <v>6.0</v>
      </c>
      <c r="E15" s="13">
        <f>140 - 54</f>
        <v>86</v>
      </c>
      <c r="F15" s="6">
        <v>70.0</v>
      </c>
      <c r="G15" s="6" t="s">
        <v>4</v>
      </c>
      <c r="H15" s="6">
        <v>14.0</v>
      </c>
      <c r="I15" s="6">
        <v>0.0</v>
      </c>
      <c r="J15" s="6" t="s">
        <v>12</v>
      </c>
    </row>
    <row r="16">
      <c r="B16" s="10" t="s">
        <v>41</v>
      </c>
      <c r="C16" s="9" t="s">
        <v>42</v>
      </c>
      <c r="D16" s="6">
        <v>6.0</v>
      </c>
      <c r="E16" s="13">
        <f>155-31</f>
        <v>124</v>
      </c>
      <c r="F16" s="6">
        <v>30.0</v>
      </c>
      <c r="G16" s="6" t="s">
        <v>2</v>
      </c>
      <c r="H16" s="6">
        <v>7.0</v>
      </c>
      <c r="I16" s="6">
        <v>1.0</v>
      </c>
      <c r="J16" s="6" t="s">
        <v>13</v>
      </c>
    </row>
    <row r="17">
      <c r="B17" s="10" t="s">
        <v>46</v>
      </c>
      <c r="C17" s="9" t="s">
        <v>47</v>
      </c>
      <c r="D17" s="6">
        <v>6.0</v>
      </c>
      <c r="E17" s="13">
        <f>220-67</f>
        <v>153</v>
      </c>
      <c r="F17" s="6">
        <v>37.0</v>
      </c>
      <c r="G17" s="6" t="s">
        <v>3</v>
      </c>
      <c r="H17" s="6">
        <v>4.0</v>
      </c>
      <c r="I17" s="6">
        <v>2.0</v>
      </c>
      <c r="J17" s="6" t="s">
        <v>12</v>
      </c>
    </row>
    <row r="18">
      <c r="B18" s="10" t="s">
        <v>48</v>
      </c>
      <c r="C18" s="9" t="s">
        <v>49</v>
      </c>
      <c r="D18" s="6">
        <v>6.0</v>
      </c>
      <c r="E18" s="6">
        <f>220-51</f>
        <v>169</v>
      </c>
      <c r="F18" s="6">
        <v>90.0</v>
      </c>
      <c r="G18" s="6" t="s">
        <v>5</v>
      </c>
      <c r="H18" s="6">
        <v>5.0</v>
      </c>
      <c r="I18" s="6">
        <v>0.0</v>
      </c>
      <c r="J18" s="6" t="s">
        <v>12</v>
      </c>
    </row>
    <row r="20">
      <c r="B20" s="4" t="s">
        <v>50</v>
      </c>
      <c r="C20" s="5"/>
      <c r="D20" s="6" t="s">
        <v>15</v>
      </c>
      <c r="E20" s="6" t="s">
        <v>15</v>
      </c>
      <c r="F20" s="6" t="s">
        <v>16</v>
      </c>
      <c r="G20" s="6" t="s">
        <v>16</v>
      </c>
      <c r="H20" s="6" t="s">
        <v>15</v>
      </c>
      <c r="I20" s="6" t="s">
        <v>16</v>
      </c>
      <c r="J20" s="6" t="s">
        <v>15</v>
      </c>
      <c r="L20" s="4" t="s">
        <v>51</v>
      </c>
      <c r="M20" s="5"/>
      <c r="N20" s="6" t="s">
        <v>15</v>
      </c>
      <c r="O20" s="6" t="s">
        <v>15</v>
      </c>
      <c r="P20" s="6" t="s">
        <v>16</v>
      </c>
      <c r="Q20" s="6" t="s">
        <v>16</v>
      </c>
      <c r="R20" s="6" t="s">
        <v>15</v>
      </c>
      <c r="S20" s="6" t="s">
        <v>16</v>
      </c>
      <c r="T20" s="6" t="s">
        <v>15</v>
      </c>
    </row>
    <row r="21">
      <c r="B21" s="7"/>
      <c r="C21" s="8"/>
      <c r="D21" s="9" t="s">
        <v>18</v>
      </c>
      <c r="E21" s="9" t="s">
        <v>19</v>
      </c>
      <c r="F21" s="9" t="s">
        <v>20</v>
      </c>
      <c r="G21" s="9" t="s">
        <v>21</v>
      </c>
      <c r="H21" s="9" t="s">
        <v>22</v>
      </c>
      <c r="I21" s="9" t="s">
        <v>23</v>
      </c>
      <c r="J21" s="9" t="s">
        <v>24</v>
      </c>
      <c r="L21" s="7"/>
      <c r="M21" s="8"/>
      <c r="N21" s="9" t="s">
        <v>18</v>
      </c>
      <c r="O21" s="9" t="s">
        <v>19</v>
      </c>
      <c r="P21" s="9" t="s">
        <v>20</v>
      </c>
      <c r="Q21" s="9" t="s">
        <v>21</v>
      </c>
      <c r="R21" s="9" t="s">
        <v>22</v>
      </c>
      <c r="S21" s="9" t="s">
        <v>23</v>
      </c>
      <c r="T21" s="9" t="s">
        <v>24</v>
      </c>
      <c r="W21" s="19"/>
      <c r="X21" s="20" t="s">
        <v>52</v>
      </c>
      <c r="Y21" s="20" t="s">
        <v>53</v>
      </c>
      <c r="Z21" s="20" t="s">
        <v>54</v>
      </c>
      <c r="AA21" s="20" t="s">
        <v>55</v>
      </c>
      <c r="AB21" s="20" t="s">
        <v>56</v>
      </c>
      <c r="AC21" s="20" t="s">
        <v>57</v>
      </c>
      <c r="AD21" s="20" t="s">
        <v>58</v>
      </c>
      <c r="AG21" s="21"/>
    </row>
    <row r="22">
      <c r="B22" s="10" t="s">
        <v>25</v>
      </c>
      <c r="C22" s="9" t="s">
        <v>27</v>
      </c>
      <c r="D22" s="6">
        <v>18.0</v>
      </c>
      <c r="E22" s="13">
        <f>75-17</f>
        <v>58</v>
      </c>
      <c r="F22" s="6">
        <v>30.0</v>
      </c>
      <c r="G22" s="6">
        <v>1.0</v>
      </c>
      <c r="H22" s="6">
        <v>2.0</v>
      </c>
      <c r="I22" s="6">
        <v>7.0</v>
      </c>
      <c r="J22" s="6">
        <v>5.0</v>
      </c>
      <c r="L22" s="10" t="s">
        <v>25</v>
      </c>
      <c r="M22" s="9" t="s">
        <v>27</v>
      </c>
      <c r="N22" s="6">
        <f t="shared" ref="N22:N30" si="2">(D22-$D$32)/$D$33</f>
        <v>1</v>
      </c>
      <c r="O22" s="13">
        <f t="shared" ref="O22:O30" si="3">(E22-$E$32)/$E$33</f>
        <v>0</v>
      </c>
      <c r="P22" s="6">
        <f t="shared" ref="P22:P30" si="4">($F$31-F22)/$F$33</f>
        <v>1</v>
      </c>
      <c r="Q22" s="6">
        <f t="shared" ref="Q22:Q30" si="5">($G$31-G22)/$G$33</f>
        <v>1</v>
      </c>
      <c r="R22" s="6">
        <f t="shared" ref="R22:R30" si="6">(H22-$H$32)/$H$33</f>
        <v>0</v>
      </c>
      <c r="S22" s="6">
        <f t="shared" ref="S22:S30" si="7">($I$31-I22)/$I$33</f>
        <v>0</v>
      </c>
      <c r="T22" s="23">
        <f t="shared" ref="T22:T30" si="8">(J22-$J$32)/$J$33</f>
        <v>1</v>
      </c>
      <c r="U22" s="19">
        <f t="shared" ref="U22:U30" si="9">SUMPRODUCT(N22:T22,$X$41:$AD$41)</f>
        <v>0.492000777</v>
      </c>
      <c r="W22" s="20" t="s">
        <v>52</v>
      </c>
      <c r="X22" s="25">
        <f>CORREL(N22:N30,N22:N30)</f>
        <v>1</v>
      </c>
      <c r="Y22" s="25">
        <f t="shared" ref="Y22:AD22" si="1">CORREL($N$22:$N$30,O22:O30)</f>
        <v>-0.658706883</v>
      </c>
      <c r="Z22" s="25">
        <f t="shared" si="1"/>
        <v>0.492443069</v>
      </c>
      <c r="AA22" s="25">
        <f t="shared" si="1"/>
        <v>0.2721012838</v>
      </c>
      <c r="AB22" s="25">
        <f t="shared" si="1"/>
        <v>-0.4182223059</v>
      </c>
      <c r="AC22" s="25">
        <f t="shared" si="1"/>
        <v>-0.8749740246</v>
      </c>
      <c r="AD22" s="25">
        <f t="shared" si="1"/>
        <v>0.5463127277</v>
      </c>
    </row>
    <row r="23">
      <c r="B23" s="10" t="s">
        <v>29</v>
      </c>
      <c r="C23" s="9" t="s">
        <v>30</v>
      </c>
      <c r="D23" s="6">
        <v>9.0</v>
      </c>
      <c r="E23" s="13">
        <f>100-25</f>
        <v>75</v>
      </c>
      <c r="F23" s="6">
        <v>35.0</v>
      </c>
      <c r="G23" s="6">
        <v>3.0</v>
      </c>
      <c r="H23" s="6">
        <v>2.0</v>
      </c>
      <c r="I23" s="6">
        <v>0.0</v>
      </c>
      <c r="J23" s="6">
        <v>5.0</v>
      </c>
      <c r="L23" s="10" t="s">
        <v>29</v>
      </c>
      <c r="M23" s="9" t="s">
        <v>30</v>
      </c>
      <c r="N23" s="6">
        <f t="shared" si="2"/>
        <v>0.3571428571</v>
      </c>
      <c r="O23" s="13">
        <f t="shared" si="3"/>
        <v>0.1531531532</v>
      </c>
      <c r="P23" s="6">
        <f t="shared" si="4"/>
        <v>0.9166666667</v>
      </c>
      <c r="Q23" s="6">
        <f t="shared" si="5"/>
        <v>0.3333333333</v>
      </c>
      <c r="R23" s="6">
        <f t="shared" si="6"/>
        <v>0</v>
      </c>
      <c r="S23" s="6">
        <f t="shared" si="7"/>
        <v>1</v>
      </c>
      <c r="T23" s="23">
        <f t="shared" si="8"/>
        <v>1</v>
      </c>
      <c r="U23" s="19">
        <f t="shared" si="9"/>
        <v>0.4960689324</v>
      </c>
      <c r="W23" s="20" t="s">
        <v>53</v>
      </c>
      <c r="X23" s="25">
        <f t="shared" ref="X23:AD23" si="10">CORREL(N22:N30,$O$22:$O$30)</f>
        <v>-0.658706883</v>
      </c>
      <c r="Y23" s="25">
        <f t="shared" si="10"/>
        <v>1</v>
      </c>
      <c r="Z23" s="25">
        <f t="shared" si="10"/>
        <v>-0.3694906936</v>
      </c>
      <c r="AA23" s="25">
        <f t="shared" si="10"/>
        <v>0.014891418</v>
      </c>
      <c r="AB23" s="25">
        <f t="shared" si="10"/>
        <v>-0.1962990802</v>
      </c>
      <c r="AC23" s="25">
        <f t="shared" si="10"/>
        <v>0.3559836514</v>
      </c>
      <c r="AD23" s="25">
        <f t="shared" si="10"/>
        <v>-0.558612913</v>
      </c>
    </row>
    <row r="24">
      <c r="B24" s="10" t="s">
        <v>31</v>
      </c>
      <c r="C24" s="9" t="s">
        <v>32</v>
      </c>
      <c r="D24" s="6">
        <v>6.0</v>
      </c>
      <c r="E24" s="13">
        <f>180-30</f>
        <v>150</v>
      </c>
      <c r="F24" s="6">
        <v>60.0</v>
      </c>
      <c r="G24" s="6">
        <v>2.0</v>
      </c>
      <c r="H24" s="6">
        <v>2.0</v>
      </c>
      <c r="I24" s="6">
        <v>2.0</v>
      </c>
      <c r="J24" s="6">
        <v>3.0</v>
      </c>
      <c r="L24" s="10" t="s">
        <v>31</v>
      </c>
      <c r="M24" s="9" t="s">
        <v>32</v>
      </c>
      <c r="N24" s="6">
        <f t="shared" si="2"/>
        <v>0.1428571429</v>
      </c>
      <c r="O24" s="13">
        <f t="shared" si="3"/>
        <v>0.8288288288</v>
      </c>
      <c r="P24" s="6">
        <f t="shared" si="4"/>
        <v>0.5</v>
      </c>
      <c r="Q24" s="6">
        <f t="shared" si="5"/>
        <v>0.6666666667</v>
      </c>
      <c r="R24" s="6">
        <f t="shared" si="6"/>
        <v>0</v>
      </c>
      <c r="S24" s="6">
        <f t="shared" si="7"/>
        <v>0.7142857143</v>
      </c>
      <c r="T24" s="23">
        <f t="shared" si="8"/>
        <v>0</v>
      </c>
      <c r="U24" s="19">
        <f t="shared" si="9"/>
        <v>0.4240747446</v>
      </c>
      <c r="W24" s="20" t="s">
        <v>54</v>
      </c>
      <c r="X24" s="25">
        <f t="shared" ref="X24:AD24" si="11">CORREL($P$22:$P$30,N22:N30)</f>
        <v>0.492443069</v>
      </c>
      <c r="Y24" s="25">
        <f t="shared" si="11"/>
        <v>-0.3694906936</v>
      </c>
      <c r="Z24" s="25">
        <f t="shared" si="11"/>
        <v>1</v>
      </c>
      <c r="AA24" s="25">
        <f t="shared" si="11"/>
        <v>0.6819740062</v>
      </c>
      <c r="AB24" s="25">
        <f t="shared" si="11"/>
        <v>-0.4708297144</v>
      </c>
      <c r="AC24" s="25">
        <f t="shared" si="11"/>
        <v>-0.5307517216</v>
      </c>
      <c r="AD24" s="25">
        <f t="shared" si="11"/>
        <v>0.6303930714</v>
      </c>
    </row>
    <row r="25">
      <c r="B25" s="10" t="s">
        <v>33</v>
      </c>
      <c r="C25" s="9" t="s">
        <v>34</v>
      </c>
      <c r="D25" s="6">
        <v>4.0</v>
      </c>
      <c r="E25" s="13">
        <f>220-52</f>
        <v>168</v>
      </c>
      <c r="F25" s="6">
        <v>60.0</v>
      </c>
      <c r="G25" s="6">
        <v>1.0</v>
      </c>
      <c r="H25" s="6">
        <v>7.0</v>
      </c>
      <c r="I25" s="6">
        <v>0.0</v>
      </c>
      <c r="J25" s="6">
        <v>4.0</v>
      </c>
      <c r="L25" s="10" t="s">
        <v>33</v>
      </c>
      <c r="M25" s="9" t="s">
        <v>34</v>
      </c>
      <c r="N25" s="6">
        <f t="shared" si="2"/>
        <v>0</v>
      </c>
      <c r="O25" s="13">
        <f t="shared" si="3"/>
        <v>0.990990991</v>
      </c>
      <c r="P25" s="6">
        <f t="shared" si="4"/>
        <v>0.5</v>
      </c>
      <c r="Q25" s="6">
        <f t="shared" si="5"/>
        <v>1</v>
      </c>
      <c r="R25" s="6">
        <f t="shared" si="6"/>
        <v>0.4166666667</v>
      </c>
      <c r="S25" s="6">
        <f t="shared" si="7"/>
        <v>1</v>
      </c>
      <c r="T25" s="23">
        <f t="shared" si="8"/>
        <v>0.5</v>
      </c>
      <c r="U25" s="19">
        <f t="shared" si="9"/>
        <v>0.652462462</v>
      </c>
      <c r="W25" s="20" t="s">
        <v>55</v>
      </c>
      <c r="X25" s="25">
        <f t="shared" ref="X25:AD25" si="12">CORREL(N22:N30,$Q$22:$Q$30)</f>
        <v>0.2721012838</v>
      </c>
      <c r="Y25" s="25">
        <f t="shared" si="12"/>
        <v>0.014891418</v>
      </c>
      <c r="Z25" s="25">
        <f t="shared" si="12"/>
        <v>0.6819740062</v>
      </c>
      <c r="AA25" s="25">
        <f t="shared" si="12"/>
        <v>1</v>
      </c>
      <c r="AB25" s="25">
        <f t="shared" si="12"/>
        <v>-0.2717652961</v>
      </c>
      <c r="AC25" s="25">
        <f t="shared" si="12"/>
        <v>-0.5324466605</v>
      </c>
      <c r="AD25" s="25">
        <f t="shared" si="12"/>
        <v>0.2478101768</v>
      </c>
    </row>
    <row r="26">
      <c r="B26" s="10" t="s">
        <v>36</v>
      </c>
      <c r="C26" s="9" t="s">
        <v>37</v>
      </c>
      <c r="D26" s="6">
        <v>6.0</v>
      </c>
      <c r="E26" s="13">
        <f>140 - 58</f>
        <v>82</v>
      </c>
      <c r="F26" s="6">
        <v>70.0</v>
      </c>
      <c r="G26" s="6">
        <v>3.0</v>
      </c>
      <c r="H26" s="6">
        <v>14.0</v>
      </c>
      <c r="I26" s="6">
        <v>0.0</v>
      </c>
      <c r="J26" s="6">
        <v>4.0</v>
      </c>
      <c r="L26" s="10" t="s">
        <v>36</v>
      </c>
      <c r="M26" s="9" t="s">
        <v>37</v>
      </c>
      <c r="N26" s="6">
        <f t="shared" si="2"/>
        <v>0.1428571429</v>
      </c>
      <c r="O26" s="13">
        <f t="shared" si="3"/>
        <v>0.2162162162</v>
      </c>
      <c r="P26" s="6">
        <f t="shared" si="4"/>
        <v>0.3333333333</v>
      </c>
      <c r="Q26" s="6">
        <f t="shared" si="5"/>
        <v>0.3333333333</v>
      </c>
      <c r="R26" s="6">
        <f t="shared" si="6"/>
        <v>1</v>
      </c>
      <c r="S26" s="6">
        <f t="shared" si="7"/>
        <v>1</v>
      </c>
      <c r="T26" s="23">
        <f t="shared" si="8"/>
        <v>0.5</v>
      </c>
      <c r="U26" s="19">
        <f t="shared" si="9"/>
        <v>0.524969644</v>
      </c>
      <c r="W26" s="20" t="s">
        <v>56</v>
      </c>
      <c r="X26" s="25">
        <f t="shared" ref="X26:AD26" si="13">CORREL(N22:N30,$R$22:$R$30)</f>
        <v>-0.4182223059</v>
      </c>
      <c r="Y26" s="25">
        <f t="shared" si="13"/>
        <v>-0.1962990802</v>
      </c>
      <c r="Z26" s="25">
        <f t="shared" si="13"/>
        <v>-0.4708297144</v>
      </c>
      <c r="AA26" s="25">
        <f t="shared" si="13"/>
        <v>-0.2717652961</v>
      </c>
      <c r="AB26" s="25">
        <f t="shared" si="13"/>
        <v>1</v>
      </c>
      <c r="AC26" s="25">
        <f t="shared" si="13"/>
        <v>0.4918221867</v>
      </c>
      <c r="AD26" s="25">
        <f t="shared" si="13"/>
        <v>-0.144139165</v>
      </c>
    </row>
    <row r="27">
      <c r="B27" s="10" t="s">
        <v>38</v>
      </c>
      <c r="C27" s="9" t="s">
        <v>39</v>
      </c>
      <c r="D27" s="6">
        <v>6.0</v>
      </c>
      <c r="E27" s="13">
        <f>140 - 54</f>
        <v>86</v>
      </c>
      <c r="F27" s="6">
        <v>70.0</v>
      </c>
      <c r="G27" s="6">
        <v>3.0</v>
      </c>
      <c r="H27" s="6">
        <v>14.0</v>
      </c>
      <c r="I27" s="6">
        <v>0.0</v>
      </c>
      <c r="J27" s="6">
        <v>4.0</v>
      </c>
      <c r="L27" s="10" t="s">
        <v>38</v>
      </c>
      <c r="M27" s="9" t="s">
        <v>39</v>
      </c>
      <c r="N27" s="6">
        <f t="shared" si="2"/>
        <v>0.1428571429</v>
      </c>
      <c r="O27" s="13">
        <f t="shared" si="3"/>
        <v>0.2522522523</v>
      </c>
      <c r="P27" s="6">
        <f t="shared" si="4"/>
        <v>0.3333333333</v>
      </c>
      <c r="Q27" s="6">
        <f t="shared" si="5"/>
        <v>0.3333333333</v>
      </c>
      <c r="R27" s="6">
        <f t="shared" si="6"/>
        <v>1</v>
      </c>
      <c r="S27" s="6">
        <f t="shared" si="7"/>
        <v>1</v>
      </c>
      <c r="T27" s="23">
        <f t="shared" si="8"/>
        <v>0.5</v>
      </c>
      <c r="U27" s="19">
        <f t="shared" si="9"/>
        <v>0.5315359773</v>
      </c>
      <c r="W27" s="20" t="s">
        <v>57</v>
      </c>
      <c r="X27" s="25">
        <f t="shared" ref="X27:AD27" si="14">CORREL($S$22:$S$30,N22:N30)</f>
        <v>-0.8749740246</v>
      </c>
      <c r="Y27" s="25">
        <f t="shared" si="14"/>
        <v>0.3559836514</v>
      </c>
      <c r="Z27" s="25">
        <f t="shared" si="14"/>
        <v>-0.5307517216</v>
      </c>
      <c r="AA27" s="25">
        <f t="shared" si="14"/>
        <v>-0.5324466605</v>
      </c>
      <c r="AB27" s="25">
        <f t="shared" si="14"/>
        <v>0.4918221867</v>
      </c>
      <c r="AC27" s="25">
        <f t="shared" si="14"/>
        <v>1</v>
      </c>
      <c r="AD27" s="25">
        <f t="shared" si="14"/>
        <v>-0.2727723628</v>
      </c>
    </row>
    <row r="28">
      <c r="B28" s="10" t="s">
        <v>41</v>
      </c>
      <c r="C28" s="9" t="s">
        <v>42</v>
      </c>
      <c r="D28" s="6">
        <v>6.0</v>
      </c>
      <c r="E28" s="13">
        <f>155-31</f>
        <v>124</v>
      </c>
      <c r="F28" s="6">
        <v>30.0</v>
      </c>
      <c r="G28" s="6">
        <v>1.0</v>
      </c>
      <c r="H28" s="6">
        <v>7.0</v>
      </c>
      <c r="I28" s="6">
        <v>1.0</v>
      </c>
      <c r="J28" s="6">
        <v>5.0</v>
      </c>
      <c r="L28" s="10" t="s">
        <v>41</v>
      </c>
      <c r="M28" s="9" t="s">
        <v>42</v>
      </c>
      <c r="N28" s="6">
        <f t="shared" si="2"/>
        <v>0.1428571429</v>
      </c>
      <c r="O28" s="13">
        <f t="shared" si="3"/>
        <v>0.5945945946</v>
      </c>
      <c r="P28" s="6">
        <f t="shared" si="4"/>
        <v>1</v>
      </c>
      <c r="Q28" s="6">
        <f t="shared" si="5"/>
        <v>1</v>
      </c>
      <c r="R28" s="6">
        <f t="shared" si="6"/>
        <v>0.4166666667</v>
      </c>
      <c r="S28" s="6">
        <f t="shared" si="7"/>
        <v>0.8571428571</v>
      </c>
      <c r="T28" s="23">
        <f t="shared" si="8"/>
        <v>1</v>
      </c>
      <c r="U28" s="19">
        <f t="shared" si="9"/>
        <v>0.6966864369</v>
      </c>
      <c r="W28" s="20" t="s">
        <v>58</v>
      </c>
      <c r="X28" s="25">
        <f t="shared" ref="X28:AD28" si="15">CORREL($T$22:$T$30,N22:N30)</f>
        <v>0.5463127277</v>
      </c>
      <c r="Y28" s="25">
        <f t="shared" si="15"/>
        <v>-0.558612913</v>
      </c>
      <c r="Z28" s="25">
        <f t="shared" si="15"/>
        <v>0.6303930714</v>
      </c>
      <c r="AA28" s="25">
        <f t="shared" si="15"/>
        <v>0.2478101768</v>
      </c>
      <c r="AB28" s="25">
        <f t="shared" si="15"/>
        <v>-0.144139165</v>
      </c>
      <c r="AC28" s="25">
        <f t="shared" si="15"/>
        <v>-0.2727723628</v>
      </c>
      <c r="AD28" s="25">
        <f t="shared" si="15"/>
        <v>1</v>
      </c>
    </row>
    <row r="29">
      <c r="B29" s="10" t="s">
        <v>46</v>
      </c>
      <c r="C29" s="9" t="s">
        <v>47</v>
      </c>
      <c r="D29" s="6">
        <v>6.0</v>
      </c>
      <c r="E29" s="13">
        <f>220-67</f>
        <v>153</v>
      </c>
      <c r="F29" s="6">
        <v>37.0</v>
      </c>
      <c r="G29" s="6">
        <v>2.0</v>
      </c>
      <c r="H29" s="6">
        <v>4.0</v>
      </c>
      <c r="I29" s="6">
        <v>2.0</v>
      </c>
      <c r="J29" s="6">
        <v>4.0</v>
      </c>
      <c r="L29" s="10" t="s">
        <v>46</v>
      </c>
      <c r="M29" s="9" t="s">
        <v>47</v>
      </c>
      <c r="N29" s="6">
        <f t="shared" si="2"/>
        <v>0.1428571429</v>
      </c>
      <c r="O29" s="13">
        <f t="shared" si="3"/>
        <v>0.8558558559</v>
      </c>
      <c r="P29" s="6">
        <f t="shared" si="4"/>
        <v>0.8833333333</v>
      </c>
      <c r="Q29" s="6">
        <f t="shared" si="5"/>
        <v>0.6666666667</v>
      </c>
      <c r="R29" s="6">
        <f t="shared" si="6"/>
        <v>0.1666666667</v>
      </c>
      <c r="S29" s="6">
        <f t="shared" si="7"/>
        <v>0.7142857143</v>
      </c>
      <c r="T29" s="23">
        <f t="shared" si="8"/>
        <v>0.5</v>
      </c>
      <c r="U29" s="19">
        <f t="shared" si="9"/>
        <v>0.5639380603</v>
      </c>
    </row>
    <row r="30">
      <c r="B30" s="10" t="s">
        <v>48</v>
      </c>
      <c r="C30" s="9" t="s">
        <v>49</v>
      </c>
      <c r="D30" s="6">
        <v>6.0</v>
      </c>
      <c r="E30" s="6">
        <f>220-51</f>
        <v>169</v>
      </c>
      <c r="F30" s="6">
        <v>90.0</v>
      </c>
      <c r="G30" s="6">
        <v>4.0</v>
      </c>
      <c r="H30" s="6">
        <v>5.0</v>
      </c>
      <c r="I30" s="6">
        <v>0.0</v>
      </c>
      <c r="J30" s="6">
        <v>4.0</v>
      </c>
      <c r="L30" s="10" t="s">
        <v>48</v>
      </c>
      <c r="M30" s="9" t="s">
        <v>49</v>
      </c>
      <c r="N30" s="6">
        <f t="shared" si="2"/>
        <v>0.1428571429</v>
      </c>
      <c r="O30" s="13">
        <f t="shared" si="3"/>
        <v>1</v>
      </c>
      <c r="P30" s="6">
        <f t="shared" si="4"/>
        <v>0</v>
      </c>
      <c r="Q30" s="6">
        <f t="shared" si="5"/>
        <v>0</v>
      </c>
      <c r="R30" s="6">
        <f t="shared" si="6"/>
        <v>0.25</v>
      </c>
      <c r="S30" s="6">
        <f t="shared" si="7"/>
        <v>1</v>
      </c>
      <c r="T30" s="23">
        <f t="shared" si="8"/>
        <v>0.5</v>
      </c>
      <c r="U30" s="19">
        <f t="shared" si="9"/>
        <v>0.4526568561</v>
      </c>
      <c r="W30" s="21" t="s">
        <v>60</v>
      </c>
    </row>
    <row r="31">
      <c r="C31" s="28" t="s">
        <v>61</v>
      </c>
      <c r="D31" s="30">
        <f t="shared" ref="D31:J31" si="16">MAX(D22:D30)</f>
        <v>18</v>
      </c>
      <c r="E31" s="30">
        <f t="shared" si="16"/>
        <v>169</v>
      </c>
      <c r="F31" s="30">
        <f t="shared" si="16"/>
        <v>90</v>
      </c>
      <c r="G31" s="30">
        <f t="shared" si="16"/>
        <v>4</v>
      </c>
      <c r="H31" s="30">
        <f t="shared" si="16"/>
        <v>14</v>
      </c>
      <c r="I31" s="30">
        <f t="shared" si="16"/>
        <v>7</v>
      </c>
      <c r="J31" s="30">
        <f t="shared" si="16"/>
        <v>5</v>
      </c>
      <c r="M31" s="11" t="s">
        <v>62</v>
      </c>
      <c r="N31" s="19">
        <f t="shared" ref="N31:T31" si="17">STDEV(N22:N30)</f>
        <v>0.2969039027</v>
      </c>
      <c r="O31" s="19">
        <f t="shared" si="17"/>
        <v>0.3920989409</v>
      </c>
      <c r="P31" s="19">
        <f t="shared" si="17"/>
        <v>0.3574709692</v>
      </c>
      <c r="Q31" s="19">
        <f t="shared" si="17"/>
        <v>0.3643021402</v>
      </c>
      <c r="R31" s="19">
        <f t="shared" si="17"/>
        <v>0.3974746673</v>
      </c>
      <c r="S31" s="19">
        <f t="shared" si="17"/>
        <v>0.3273268354</v>
      </c>
      <c r="T31" s="19">
        <f t="shared" si="17"/>
        <v>0.3333333333</v>
      </c>
      <c r="U31" s="32"/>
    </row>
    <row r="32">
      <c r="C32" s="28" t="s">
        <v>64</v>
      </c>
      <c r="D32" s="30">
        <f t="shared" ref="D32:J32" si="18">MIN(D22:D30)</f>
        <v>4</v>
      </c>
      <c r="E32" s="30">
        <f t="shared" si="18"/>
        <v>58</v>
      </c>
      <c r="F32" s="30">
        <f t="shared" si="18"/>
        <v>30</v>
      </c>
      <c r="G32" s="30">
        <f t="shared" si="18"/>
        <v>1</v>
      </c>
      <c r="H32" s="30">
        <f t="shared" si="18"/>
        <v>2</v>
      </c>
      <c r="I32" s="30">
        <f t="shared" si="18"/>
        <v>0</v>
      </c>
      <c r="J32" s="30">
        <f t="shared" si="18"/>
        <v>3</v>
      </c>
      <c r="W32" s="10"/>
      <c r="X32" s="20" t="s">
        <v>52</v>
      </c>
      <c r="Y32" s="20" t="s">
        <v>53</v>
      </c>
      <c r="Z32" s="20" t="s">
        <v>54</v>
      </c>
      <c r="AA32" s="20" t="s">
        <v>55</v>
      </c>
      <c r="AB32" s="20" t="s">
        <v>56</v>
      </c>
      <c r="AC32" s="20" t="s">
        <v>57</v>
      </c>
      <c r="AD32" s="20" t="s">
        <v>58</v>
      </c>
    </row>
    <row r="33">
      <c r="C33" s="28" t="s">
        <v>66</v>
      </c>
      <c r="D33" s="30">
        <f t="shared" ref="D33:J33" si="19">D31-D32</f>
        <v>14</v>
      </c>
      <c r="E33" s="30">
        <f t="shared" si="19"/>
        <v>111</v>
      </c>
      <c r="F33" s="30">
        <f t="shared" si="19"/>
        <v>60</v>
      </c>
      <c r="G33" s="30">
        <f t="shared" si="19"/>
        <v>3</v>
      </c>
      <c r="H33" s="30">
        <f t="shared" si="19"/>
        <v>12</v>
      </c>
      <c r="I33" s="30">
        <f t="shared" si="19"/>
        <v>7</v>
      </c>
      <c r="J33" s="30">
        <f t="shared" si="19"/>
        <v>2</v>
      </c>
      <c r="W33" s="20" t="s">
        <v>52</v>
      </c>
      <c r="X33" s="34">
        <f t="shared" ref="X33:AD33" si="20">1-X22</f>
        <v>0</v>
      </c>
      <c r="Y33" s="34">
        <f t="shared" si="20"/>
        <v>1.658706883</v>
      </c>
      <c r="Z33" s="34">
        <f t="shared" si="20"/>
        <v>0.507556931</v>
      </c>
      <c r="AA33" s="34">
        <f t="shared" si="20"/>
        <v>0.7278987162</v>
      </c>
      <c r="AB33" s="34">
        <f t="shared" si="20"/>
        <v>1.418222306</v>
      </c>
      <c r="AC33" s="34">
        <f t="shared" si="20"/>
        <v>1.874974025</v>
      </c>
      <c r="AD33" s="34">
        <f t="shared" si="20"/>
        <v>0.4536872723</v>
      </c>
    </row>
    <row r="34">
      <c r="W34" s="20" t="s">
        <v>53</v>
      </c>
      <c r="X34" s="34">
        <f t="shared" ref="X34:AD34" si="21">1-X23</f>
        <v>1.658706883</v>
      </c>
      <c r="Y34" s="34">
        <f t="shared" si="21"/>
        <v>0</v>
      </c>
      <c r="Z34" s="34">
        <f t="shared" si="21"/>
        <v>1.369490694</v>
      </c>
      <c r="AA34" s="34">
        <f t="shared" si="21"/>
        <v>0.985108582</v>
      </c>
      <c r="AB34" s="34">
        <f t="shared" si="21"/>
        <v>1.19629908</v>
      </c>
      <c r="AC34" s="34">
        <f t="shared" si="21"/>
        <v>0.6440163486</v>
      </c>
      <c r="AD34" s="34">
        <f t="shared" si="21"/>
        <v>1.558612913</v>
      </c>
    </row>
    <row r="35">
      <c r="W35" s="20" t="s">
        <v>54</v>
      </c>
      <c r="X35" s="34">
        <f t="shared" ref="X35:AD35" si="22">1-X24</f>
        <v>0.507556931</v>
      </c>
      <c r="Y35" s="34">
        <f t="shared" si="22"/>
        <v>1.369490694</v>
      </c>
      <c r="Z35" s="34">
        <f t="shared" si="22"/>
        <v>0</v>
      </c>
      <c r="AA35" s="34">
        <f t="shared" si="22"/>
        <v>0.3180259938</v>
      </c>
      <c r="AB35" s="34">
        <f t="shared" si="22"/>
        <v>1.470829714</v>
      </c>
      <c r="AC35" s="34">
        <f t="shared" si="22"/>
        <v>1.530751722</v>
      </c>
      <c r="AD35" s="34">
        <f t="shared" si="22"/>
        <v>0.3696069286</v>
      </c>
    </row>
    <row r="36">
      <c r="W36" s="20" t="s">
        <v>55</v>
      </c>
      <c r="X36" s="34">
        <f t="shared" ref="X36:AD36" si="23">1-X25</f>
        <v>0.7278987162</v>
      </c>
      <c r="Y36" s="34">
        <f t="shared" si="23"/>
        <v>0.985108582</v>
      </c>
      <c r="Z36" s="34">
        <f t="shared" si="23"/>
        <v>0.3180259938</v>
      </c>
      <c r="AA36" s="34">
        <f t="shared" si="23"/>
        <v>0</v>
      </c>
      <c r="AB36" s="34">
        <f t="shared" si="23"/>
        <v>1.271765296</v>
      </c>
      <c r="AC36" s="34">
        <f t="shared" si="23"/>
        <v>1.532446661</v>
      </c>
      <c r="AD36" s="34">
        <f t="shared" si="23"/>
        <v>0.7521898232</v>
      </c>
    </row>
    <row r="37">
      <c r="W37" s="20" t="s">
        <v>56</v>
      </c>
      <c r="X37" s="34">
        <f t="shared" ref="X37:AD37" si="24">1-X26</f>
        <v>1.418222306</v>
      </c>
      <c r="Y37" s="34">
        <f t="shared" si="24"/>
        <v>1.19629908</v>
      </c>
      <c r="Z37" s="34">
        <f t="shared" si="24"/>
        <v>1.470829714</v>
      </c>
      <c r="AA37" s="34">
        <f t="shared" si="24"/>
        <v>1.271765296</v>
      </c>
      <c r="AB37" s="34">
        <f t="shared" si="24"/>
        <v>0</v>
      </c>
      <c r="AC37" s="34">
        <f t="shared" si="24"/>
        <v>0.5081778133</v>
      </c>
      <c r="AD37" s="34">
        <f t="shared" si="24"/>
        <v>1.144139165</v>
      </c>
    </row>
    <row r="38">
      <c r="W38" s="20" t="s">
        <v>57</v>
      </c>
      <c r="X38" s="34">
        <f t="shared" ref="X38:AD38" si="25">1-X27</f>
        <v>1.874974025</v>
      </c>
      <c r="Y38" s="34">
        <f t="shared" si="25"/>
        <v>0.6440163486</v>
      </c>
      <c r="Z38" s="34">
        <f t="shared" si="25"/>
        <v>1.530751722</v>
      </c>
      <c r="AA38" s="34">
        <f t="shared" si="25"/>
        <v>1.532446661</v>
      </c>
      <c r="AB38" s="34">
        <f t="shared" si="25"/>
        <v>0.5081778133</v>
      </c>
      <c r="AC38" s="34">
        <f t="shared" si="25"/>
        <v>0</v>
      </c>
      <c r="AD38" s="34">
        <f t="shared" si="25"/>
        <v>1.272772363</v>
      </c>
    </row>
    <row r="39">
      <c r="W39" s="20" t="s">
        <v>58</v>
      </c>
      <c r="X39" s="34">
        <f t="shared" ref="X39:AD39" si="26">1-X28</f>
        <v>0.4536872723</v>
      </c>
      <c r="Y39" s="34">
        <f t="shared" si="26"/>
        <v>1.558612913</v>
      </c>
      <c r="Z39" s="34">
        <f t="shared" si="26"/>
        <v>0.3696069286</v>
      </c>
      <c r="AA39" s="34">
        <f t="shared" si="26"/>
        <v>0.7521898232</v>
      </c>
      <c r="AB39" s="34">
        <f t="shared" si="26"/>
        <v>1.144139165</v>
      </c>
      <c r="AC39" s="34">
        <f t="shared" si="26"/>
        <v>1.272772363</v>
      </c>
      <c r="AD39" s="34">
        <f t="shared" si="26"/>
        <v>0</v>
      </c>
    </row>
    <row r="40">
      <c r="W40" s="11" t="s">
        <v>74</v>
      </c>
      <c r="X40" s="35">
        <f t="shared" ref="X40:AD40" si="27">N31*SUM(X33:X39)</f>
        <v>1.971752515</v>
      </c>
      <c r="Y40" s="35">
        <f t="shared" si="27"/>
        <v>2.906329297</v>
      </c>
      <c r="Z40" s="35">
        <f t="shared" si="27"/>
        <v>1.989777066</v>
      </c>
      <c r="AA40" s="35">
        <f t="shared" si="27"/>
        <v>2.035514555</v>
      </c>
      <c r="AB40" s="35">
        <f t="shared" si="27"/>
        <v>2.786072198</v>
      </c>
      <c r="AC40" s="35">
        <f t="shared" si="27"/>
        <v>2.410152965</v>
      </c>
      <c r="AD40" s="35">
        <f t="shared" si="27"/>
        <v>1.850336155</v>
      </c>
    </row>
    <row r="41">
      <c r="W41" s="11" t="s">
        <v>77</v>
      </c>
      <c r="X41" s="35">
        <f t="shared" ref="X41:AD41" si="28">X40/SUM($X$40:$AD$40)</f>
        <v>0.123621353</v>
      </c>
      <c r="Y41" s="35">
        <f t="shared" si="28"/>
        <v>0.1822157484</v>
      </c>
      <c r="Z41" s="35">
        <f t="shared" si="28"/>
        <v>0.1247514236</v>
      </c>
      <c r="AA41" s="35">
        <f t="shared" si="28"/>
        <v>0.1276189895</v>
      </c>
      <c r="AB41" s="35">
        <f t="shared" si="28"/>
        <v>0.1746760875</v>
      </c>
      <c r="AC41" s="35">
        <f t="shared" si="28"/>
        <v>0.1511073871</v>
      </c>
      <c r="AD41" s="35">
        <f t="shared" si="28"/>
        <v>0.1160090109</v>
      </c>
    </row>
  </sheetData>
  <mergeCells count="5">
    <mergeCell ref="B2:B3"/>
    <mergeCell ref="B5:B6"/>
    <mergeCell ref="B8:C9"/>
    <mergeCell ref="B20:C21"/>
    <mergeCell ref="L20:M21"/>
  </mergeCells>
  <drawing r:id="rId1"/>
</worksheet>
</file>